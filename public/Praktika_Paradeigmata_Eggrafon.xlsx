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ΠΕΡΙΕΧΟΜΕΝΑ" sheetId="1" state="visible" r:id="rId3"/>
    <sheet name="1.ΑΓΟΡΕΣ" sheetId="2" state="visible" r:id="rId4"/>
    <sheet name="2.ΠΩΛΗΣΕΙΣ" sheetId="3" state="visible" r:id="rId5"/>
    <sheet name="3.ΜΙΣΘΟΔΟΣΙΑ" sheetId="4" state="visible" r:id="rId6"/>
    <sheet name="4.ΤΡΑΠΕΖΕΣ-ΤΑΜΕΙΟ" sheetId="5" state="visible" r:id="rId7"/>
    <sheet name="5.ΕΞΟΔΑ" sheetId="6" state="visible" r:id="rId8"/>
    <sheet name="6.ΤΕΛΟΣ ΧΡΗΣΗΣ-ΦΠΑ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<sst xmlns="http://schemas.openxmlformats.org/spreadsheetml/2006/main" count="441" uniqueCount="179">
  <si>
    <t xml:space="preserve">ΠΡΑΚΤΙΚΑ ΠΑΡΑΔΕΙΓΜΑΤΑ ΛΟΓΙΣΤΙΚΩΝ ΕΓΓΡΑΦΩΝ</t>
  </si>
  <si>
    <t xml:space="preserve">Συλλογή λυμένων εγγραφών εμπορικής επιχείρησης κατά ΕΓΛΣ. Κάθε παράδειγμα ισοσκελίζει (✓). ΦΠΑ 24% όπου δεν ορίζεται αλλιώς.</t>
  </si>
  <si>
    <t xml:space="preserve">Καρτέλα</t>
  </si>
  <si>
    <t xml:space="preserve">Τι περιέχει</t>
  </si>
  <si>
    <t xml:space="preserve">Παραδείγματα</t>
  </si>
  <si>
    <t xml:space="preserve">1. ΑΓΟΡΕΣ</t>
  </si>
  <si>
    <t xml:space="preserve">Εμπορεύματα &amp; πάγια, μετρητοίς/πίστωση, επιστροφές, εκπτώσεις</t>
  </si>
  <si>
    <t xml:space="preserve">7</t>
  </si>
  <si>
    <t xml:space="preserve">2. ΠΩΛΗΣΕΙΣ</t>
  </si>
  <si>
    <t xml:space="preserve">Χονδρική, λιανική, κάρτες, επιστροφές, προκαταβολές</t>
  </si>
  <si>
    <t xml:space="preserve">6</t>
  </si>
  <si>
    <t xml:space="preserve">3. ΜΙΣΘΟΔΟΣΙΑ</t>
  </si>
  <si>
    <t xml:space="preserve">Δεδουλευμένη, εργοδοτικές, πληρωμή, αποδόσεις</t>
  </si>
  <si>
    <t xml:space="preserve">5</t>
  </si>
  <si>
    <t xml:space="preserve">4. ΤΡΑΠΕΖΕΣ &amp; ΤΑΜΕΙΟ</t>
  </si>
  <si>
    <t xml:space="preserve">Καταθέσεις, αναλήψεις, εμβάσματα, προμήθειες, τόκοι</t>
  </si>
  <si>
    <t xml:space="preserve">5. ΕΞΟΔΑ</t>
  </si>
  <si>
    <t xml:space="preserve">Ενοίκια, ΔΕΗ, τηλέφωνο, καύσιμα, αμοιβές τρίτων με παρακράτηση</t>
  </si>
  <si>
    <t xml:space="preserve">6. ΤΕΛΟΣ ΧΡΗΣΗΣ &amp; ΦΠΑ</t>
  </si>
  <si>
    <t xml:space="preserve">Εκκαθάριση ΦΠΑ, αποσβέσεις, απόδοση φόρου</t>
  </si>
  <si>
    <t xml:space="preserve">4</t>
  </si>
  <si>
    <t xml:space="preserve">ΥΠΟΜΝΗΜΑ:  ✓ πράσινο = η εγγραφή ισοσκελίζει (Χρέωση=Πίστωση).  Κίτρινο πλαίσιο = επεξήγηση.  Οι κωδικοί ακολουθούν το ΕΓΛΣ.</t>
  </si>
  <si>
    <t xml:space="preserve">ΑΓΟΡΕΣ</t>
  </si>
  <si>
    <t xml:space="preserve">Αγορές εμπορευμάτων &amp; παγίων, μετρητοίς και επί πιστώσει, επιστροφές &amp; εκπτώσεις.</t>
  </si>
  <si>
    <t xml:space="preserve">Α1 · Αγορά εμπορευμάτων επί πιστώσει (καθ. αξία 1.000 + ΦΠΑ 24%)</t>
  </si>
  <si>
    <t xml:space="preserve">Κωδ.</t>
  </si>
  <si>
    <t xml:space="preserve">Λογαριασμός</t>
  </si>
  <si>
    <t xml:space="preserve">Χρέωση</t>
  </si>
  <si>
    <t xml:space="preserve">Πίστωση</t>
  </si>
  <si>
    <t xml:space="preserve">20.00</t>
  </si>
  <si>
    <t xml:space="preserve">Εμπορεύματα</t>
  </si>
  <si>
    <t xml:space="preserve">54.00</t>
  </si>
  <si>
    <t xml:space="preserve">ΦΠΑ εισροών 24%</t>
  </si>
  <si>
    <t xml:space="preserve">50.00</t>
  </si>
  <si>
    <t xml:space="preserve">    Προμηθευτές</t>
  </si>
  <si>
    <t xml:space="preserve">Σύνολα / Έλεγχος</t>
  </si>
  <si>
    <t xml:space="preserve">➤ Η καθαρή αξία στα Εμπορεύματα (20), ο ΦΠΑ εισροών χωριστά (54.00). Η υποχρέωση στους Προμηθευτές είναι το σύνολο του τιμολογίου.</t>
  </si>
  <si>
    <t xml:space="preserve">Α2 · Αγορά εμπορευμάτων τοις μετρητοίς (2.000 + ΦΠΑ 24%)</t>
  </si>
  <si>
    <t xml:space="preserve">38.00</t>
  </si>
  <si>
    <t xml:space="preserve">    Ταμείο</t>
  </si>
  <si>
    <t xml:space="preserve">➤ Ίδια λογική, αλλά πληρώνεται αμέσως — πίστωση Ταμείου αντί για Προμηθευτές.</t>
  </si>
  <si>
    <t xml:space="preserve">Α3 · Προκαταβολή σε προμηθευτή 500 € με έμβασμα (πριν το τιμολόγιο)</t>
  </si>
  <si>
    <t xml:space="preserve">Προμηθευτές (προκαταβολή)</t>
  </si>
  <si>
    <t xml:space="preserve">38.03</t>
  </si>
  <si>
    <t xml:space="preserve">    Καταθέσεις όψεως</t>
  </si>
  <si>
    <t xml:space="preserve">➤ Η προκαταβολή είναι απαίτηση/χρεωστικό υπόλοιπο στον προμηθευτή μέχρι να έρθει το τιμολόγιο.</t>
  </si>
  <si>
    <t xml:space="preserve">Α4 · Επιστροφή ελαττωματικών εμπορευμάτων σε προμηθευτή (200 + ΦΠΑ)</t>
  </si>
  <si>
    <t xml:space="preserve">Προμηθευτές</t>
  </si>
  <si>
    <t xml:space="preserve">    Εμπορεύματα</t>
  </si>
  <si>
    <t xml:space="preserve">    ΦΠΑ εισροών 24%</t>
  </si>
  <si>
    <t xml:space="preserve">➤ Αντίστροφη εγγραφή της αγοράς: μειώνεται η υποχρέωση, φεύγουν τα εμπορεύματα και ο ΦΠΑ εισροών.</t>
  </si>
  <si>
    <t xml:space="preserve">Α5 · Πιστωτικό τιμολόγιο έκπτωσης από προμηθευτή (100 + ΦΠΑ)</t>
  </si>
  <si>
    <t xml:space="preserve">    Εμπορεύματα (έκπτωση)</t>
  </si>
  <si>
    <t xml:space="preserve">➤ Η έκπτωση μειώνει το κόστος αγορών και τον ΦΠΑ, και μειώνει την υποχρέωση.</t>
  </si>
  <si>
    <t xml:space="preserve">Α6 · Αγορά παγίου – μηχάνημα 5.000 € + ΦΠΑ 24% με τράπεζα</t>
  </si>
  <si>
    <t xml:space="preserve">12.00</t>
  </si>
  <si>
    <t xml:space="preserve">Μηχανήματα</t>
  </si>
  <si>
    <t xml:space="preserve">➤ Το πάγιο ΔΕΝ είναι έξοδο — μπαίνει στην Ομάδα 1 και κοστολογείται σταδιακά με αποσβέσεις (βλ. καρτέλα 6).</t>
  </si>
  <si>
    <t xml:space="preserve">Α7 · Αγορά εμπ. 1.000 + μεταφορικά 100 (εισφορά) + ΦΠΑ 24% επί πιστώσει</t>
  </si>
  <si>
    <t xml:space="preserve">Εμπορεύματα (αξία+μεταφορικά)</t>
  </si>
  <si>
    <t xml:space="preserve">➤ Τα έξοδα αγοράς (μεταφορικά) προσαυξάνουν το κόστος. ΦΠΑ 24% επί (1.000+100)=1.100 → 264.</t>
  </si>
  <si>
    <t xml:space="preserve">ΠΩΛΗΣΕΙΣ</t>
  </si>
  <si>
    <t xml:space="preserve">Χονδρική &amp; λιανική, κάρτες, επιστροφές, εκπτώσεις, προκαταβολές.</t>
  </si>
  <si>
    <t xml:space="preserve">Π1 · Χονδρική πώληση επί πιστώσει (2.000 + ΦΠΑ 24%)</t>
  </si>
  <si>
    <t xml:space="preserve">30.00</t>
  </si>
  <si>
    <t xml:space="preserve">Πελάτες</t>
  </si>
  <si>
    <t xml:space="preserve">70.00</t>
  </si>
  <si>
    <t xml:space="preserve">    Πωλήσεις εμπορευμάτων</t>
  </si>
  <si>
    <t xml:space="preserve">    ΦΠΑ εκροών 24%</t>
  </si>
  <si>
    <t xml:space="preserve">➤ Ο πελάτης (30) χρεώνεται το σύνολο. Η πώληση (70) και ο ΦΠΑ εκροών (54.00) πιστώνονται.</t>
  </si>
  <si>
    <t xml:space="preserve">Π2 · Λιανική τοις μετρητοίς – Ζ ημέρας (σύνολο 1.240 με ΦΠΑ)</t>
  </si>
  <si>
    <t xml:space="preserve">Ταμείο</t>
  </si>
  <si>
    <t xml:space="preserve">    Πωλήσεις λιανικής</t>
  </si>
  <si>
    <t xml:space="preserve">➤ Καθαρή αξία = 1.240 / 1,24 = 1.000. Ο ΦΠΑ = 240. Το ταμείο εισπράττει το μεικτό.</t>
  </si>
  <si>
    <t xml:space="preserve">Π3 · Πώληση με πιστωτική κάρτα 1.240 (προμήθεια τράπεζας 2% = 24,80)</t>
  </si>
  <si>
    <t xml:space="preserve">Καταθέσεις όψεως</t>
  </si>
  <si>
    <t xml:space="preserve">61.00</t>
  </si>
  <si>
    <t xml:space="preserve">Προμήθειες (έξοδο)</t>
  </si>
  <si>
    <t xml:space="preserve">    Πωλήσεις</t>
  </si>
  <si>
    <t xml:space="preserve">➤ Η τράπεζα κρατά προμήθεια ως έξοδο. Στον λογαριασμό μπαίνει το καθαρό ποσό.</t>
  </si>
  <si>
    <t xml:space="preserve">Π4 · Επιστροφή εμπορευμάτων από πελάτη (300 + ΦΠΑ 24%)</t>
  </si>
  <si>
    <t xml:space="preserve">Πωλήσεις (επιστροφή)</t>
  </si>
  <si>
    <t xml:space="preserve">ΦΠΑ εκροών 24%</t>
  </si>
  <si>
    <t xml:space="preserve">    Πελάτες</t>
  </si>
  <si>
    <t xml:space="preserve">➤ Αντίστροφη της πώλησης: μειώνονται πωλήσεις &amp; ΦΠΑ εκροών, μειώνεται η απαίτηση από τον πελάτη.</t>
  </si>
  <si>
    <t xml:space="preserve">Π5 · Έκπτωση τζίρου σε πελάτη – πιστωτικό (150 + ΦΠΑ 24%)</t>
  </si>
  <si>
    <t xml:space="preserve">Εκπτώσεις πωλήσεων</t>
  </si>
  <si>
    <t xml:space="preserve">➤ Μειώνει τα έσοδα και τον ΦΠΑ, και μειώνει την απαίτηση από τον πελάτη.</t>
  </si>
  <si>
    <t xml:space="preserve">Π6 · Προκαταβολή από πελάτη 600 € στην τράπεζα (πριν την πώληση)</t>
  </si>
  <si>
    <t xml:space="preserve">    Πελάτες (προκαταβολή)</t>
  </si>
  <si>
    <t xml:space="preserve">➤ Είναι υποχρέωση προς τον πελάτη μέχρι να γίνει η πώληση — πιστωτικό υπόλοιπο στον 30.</t>
  </si>
  <si>
    <t xml:space="preserve">ΜΙΣΘΟΔΟΣΙΑ</t>
  </si>
  <si>
    <t xml:space="preserve">Δεδουλευμένη μισθοδοσία, εργοδοτικές εισφορές, πληρωμές &amp; αποδόσεις.</t>
  </si>
  <si>
    <t xml:space="preserve">Μ1 · Δεδουλευμένη μισθοδοσία: μικτά 1.000, ΕΦΚΑ εργαζ. 140, ΦΜΥ 60, καθαρό 800</t>
  </si>
  <si>
    <t xml:space="preserve">60.00</t>
  </si>
  <si>
    <t xml:space="preserve">Αμοιβές έμμισθου προσωπικού</t>
  </si>
  <si>
    <t xml:space="preserve">55.00</t>
  </si>
  <si>
    <t xml:space="preserve">    ΕΦΚΑ (κράτηση εργαζ.)</t>
  </si>
  <si>
    <t xml:space="preserve">54.03</t>
  </si>
  <si>
    <t xml:space="preserve">    ΦΜΥ</t>
  </si>
  <si>
    <t xml:space="preserve">53.00</t>
  </si>
  <si>
    <t xml:space="preserve">    Αποδοχές πληρωτέες</t>
  </si>
  <si>
    <t xml:space="preserve">➤ Το ΕΞΟΔΟ είναι ο μικτός (60). Οι κρατήσεις εργαζομένου είναι υποχρεώσεις προς ΕΦΚΑ/Εφορία. Το υπόλοιπο το χρωστάς στον εργαζόμενο (53).</t>
  </si>
  <si>
    <t xml:space="preserve">Μ2 · Εργοδοτικές εισφορές ΕΦΚΑ 240 € (κόστος εργοδότη)</t>
  </si>
  <si>
    <t xml:space="preserve">60.03</t>
  </si>
  <si>
    <t xml:space="preserve">Εργοδοτικές εισφορές</t>
  </si>
  <si>
    <t xml:space="preserve">    ΕΦΚΑ (εργοδοτικές)</t>
  </si>
  <si>
    <t xml:space="preserve">➤ Είναι πρόσθετο έξοδο του εργοδότη (πέρα από τον μικτό) και ταυτόχρονα υποχρέωση προς τον ΕΦΚΑ.</t>
  </si>
  <si>
    <t xml:space="preserve">Μ3 · Πληρωμή καθαρών αποδοχών 800 € στον εργαζόμενο με έμβασμα</t>
  </si>
  <si>
    <t xml:space="preserve">Αποδοχές πληρωτέες</t>
  </si>
  <si>
    <t xml:space="preserve">➤ Κλείνει η υποχρέωση «Αποδοχές πληρωτέες» με εκροή από την τράπεζα.</t>
  </si>
  <si>
    <t xml:space="preserve">Μ4 · Απόδοση ΕΦΚΑ 380 € (140 εργαζ. + 240 εργοδ.) στο δημόσιο</t>
  </si>
  <si>
    <t xml:space="preserve">Ασφαλιστικοί οργανισμοί (ΕΦΚΑ)</t>
  </si>
  <si>
    <t xml:space="preserve">➤ Πληρώνεις στον ΕΦΚΑ το σύνολο των εισφορών (κρατήσεις + εργοδοτικές).</t>
  </si>
  <si>
    <t xml:space="preserve">Μ5 · Απόδοση ΦΜΥ 60 € στην εφορία</t>
  </si>
  <si>
    <t xml:space="preserve">Φόρος Μισθωτών (ΦΜΥ)</t>
  </si>
  <si>
    <t xml:space="preserve">➤ Αποδίδεις τον παρακρατηθέντα φόρο μισθωτών.</t>
  </si>
  <si>
    <t xml:space="preserve">ΤΡΑΠΕΖΕΣ &amp; ΤΑΜΕΙΟ</t>
  </si>
  <si>
    <t xml:space="preserve">Καταθέσεις, αναλήψεις, εμβάσματα, προμήθειες, τόκοι.</t>
  </si>
  <si>
    <t xml:space="preserve">Τ1 · Κατάθεση μετρητών 3.000 € από το ταμείο στην τράπεζα</t>
  </si>
  <si>
    <t xml:space="preserve">➤ Δύο διαθέσιμα ανταλλάσσονται: αυξάνεται η τράπεζα, μειώνεται το ταμείο. Δεν είναι ούτε έσοδο ούτε έξοδο.</t>
  </si>
  <si>
    <t xml:space="preserve">Τ2 · Ανάληψη μετρητών 500 € από την τράπεζα για το ταμείο</t>
  </si>
  <si>
    <t xml:space="preserve">➤ Το αντίστροφο της κατάθεσης.</t>
  </si>
  <si>
    <t xml:space="preserve">Τ3 · Είσπραξη από πελάτη 2.480 € με έμβασμα</t>
  </si>
  <si>
    <t xml:space="preserve">➤ Μειώνεται η απαίτηση από τον πελάτη, αυξάνεται η τράπεζα.</t>
  </si>
  <si>
    <t xml:space="preserve">Τ4 · Πληρωμή προμηθευτή 1.240 € με έμβασμα</t>
  </si>
  <si>
    <t xml:space="preserve">➤ Μειώνεται η υποχρέωση, μειώνεται η τράπεζα.</t>
  </si>
  <si>
    <t xml:space="preserve">Τ5 · Έξοδα/προμήθειες τραπέζης 15 € (χρέωση λογαριασμού)</t>
  </si>
  <si>
    <t xml:space="preserve">Έξοδα &amp; προμήθειες τραπεζών</t>
  </si>
  <si>
    <t xml:space="preserve">➤ Μικρό λειτουργικό έξοδο· κατευθείαν χρέωση της τράπεζας.</t>
  </si>
  <si>
    <t xml:space="preserve">Τ6 · Πίστωση τόκων καταθέσεων 40 € (καθαρό, μετά φόρου)</t>
  </si>
  <si>
    <t xml:space="preserve">76.00</t>
  </si>
  <si>
    <t xml:space="preserve">    Έσοδα κεφαλαίων (τόκοι)</t>
  </si>
  <si>
    <t xml:space="preserve">➤ Έσοδο κεφαλαίων. (Ο φόρος τόκων συνήθως παρακρατείται από την τράπεζα.)</t>
  </si>
  <si>
    <t xml:space="preserve">ΕΞΟΔΑ &amp; ΠΑΡΟΧΕΣ</t>
  </si>
  <si>
    <t xml:space="preserve">Ενοίκια, ΔΕΗ, τηλέφωνο, καύσιμα, αμοιβές τρίτων με παρακράτηση.</t>
  </si>
  <si>
    <t xml:space="preserve">Ε1 · Ενοίκιο καταστήματος 500 € (χωρίς ΦΠΑ) με έμβασμα</t>
  </si>
  <si>
    <t xml:space="preserve">62.04</t>
  </si>
  <si>
    <t xml:space="preserve">Ενοίκια</t>
  </si>
  <si>
    <t xml:space="preserve">➤ Τα μισθώματα ακινήτων συνήθως δεν έχουν ΦΠΑ. Καθαρό έξοδο.</t>
  </si>
  <si>
    <t xml:space="preserve">Ε2 · Λογαριασμός ΔΕΗ 200 € + ΦΠΑ 24% επί πιστώσει</t>
  </si>
  <si>
    <t xml:space="preserve">62.98</t>
  </si>
  <si>
    <t xml:space="preserve">Λοιπές παροχές (ΔΕΗ)</t>
  </si>
  <si>
    <t xml:space="preserve">    Προμηθευτές/Πιστωτές</t>
  </si>
  <si>
    <t xml:space="preserve">➤ Έξοδο παροχών τρίτων + ΦΠΑ εισροών· υποχρέωση προς τον πάροχο.</t>
  </si>
  <si>
    <t xml:space="preserve">Ε3 · Τηλέφωνο/Internet 50 € + ΦΠΑ 24% με μετρητά</t>
  </si>
  <si>
    <t xml:space="preserve">62.03</t>
  </si>
  <si>
    <t xml:space="preserve">Τηλεπικοινωνίες</t>
  </si>
  <si>
    <t xml:space="preserve">➤ Τηλεπικοινωνίες (62.03) + ΦΠΑ, πληρωμή από ταμείο.</t>
  </si>
  <si>
    <t xml:space="preserve">Ε4 · Καύσιμα φορτηγού 100 € + ΦΠΑ 24% με κάρτα (τράπεζα)</t>
  </si>
  <si>
    <t xml:space="preserve">64.00</t>
  </si>
  <si>
    <t xml:space="preserve">Έξοδα μεταφορών (καύσιμα)</t>
  </si>
  <si>
    <t xml:space="preserve">➤ Έξοδα μεταφορών (64). Ο ΦΠΑ καυσίμων επιβατικών δεν εκπίπτει — εδώ φορτηγό, εκπίπτει.</t>
  </si>
  <si>
    <t xml:space="preserve">Ε5 · Αμοιβή λογιστή/δικηγόρου 1.000 + ΦΠΑ 24%, παρακράτηση φόρου 20%</t>
  </si>
  <si>
    <t xml:space="preserve">Αμοιβές &amp; έξοδα τρίτων</t>
  </si>
  <si>
    <t xml:space="preserve">54.05</t>
  </si>
  <si>
    <t xml:space="preserve">    Παρακρατ. φόρος 20%</t>
  </si>
  <si>
    <t xml:space="preserve">➤ Παρακρατείς 20% επί της καθ. αμοιβής (=200) και το αποδίδεις στην εφορία. Πληρωτέο = 1.000+240−200 = 1.040.</t>
  </si>
  <si>
    <t xml:space="preserve">ΤΕΛΟΣ ΧΡΗΣΗΣ &amp; ΦΠΑ</t>
  </si>
  <si>
    <t xml:space="preserve">Εκκαθάριση ΦΠΑ, αποσβέσεις, απόδοση φόρου.</t>
  </si>
  <si>
    <t xml:space="preserve">Φ1 · Εκκαθάριση ΦΠΑ: εκροών 3.000 &gt; εισροών 2.000 → αποδοτέος 1.000</t>
  </si>
  <si>
    <t xml:space="preserve">ΦΠΑ εκροών (κλείσιμο)</t>
  </si>
  <si>
    <t xml:space="preserve">    ΦΠΑ εισροών (κλείσιμο)</t>
  </si>
  <si>
    <t xml:space="preserve">54.07</t>
  </si>
  <si>
    <t xml:space="preserve">    ΦΠΑ αποδοτέος</t>
  </si>
  <si>
    <t xml:space="preserve">➤ Μεταφέρεις τα υπόλοιπα ΦΠΑ και προκύπτει υποχρέωση 1.000 προς το δημόσιο (54.07 αποδοτέος).</t>
  </si>
  <si>
    <t xml:space="preserve">Φ2 · Εκκαθάριση ΦΠΑ: εισροών 2.500 &gt; εκροών 2.000 → πιστωτικό 500</t>
  </si>
  <si>
    <t xml:space="preserve">54.08</t>
  </si>
  <si>
    <t xml:space="preserve">ΦΠΑ πιστωτικό σε μεταφορά</t>
  </si>
  <si>
    <t xml:space="preserve">➤ Όταν ο ΦΠΑ εισροών υπερβαίνει τον εκροών, προκύπτει πιστωτικό υπόλοιπο (απαίτηση) που μεταφέρεται.</t>
  </si>
  <si>
    <t xml:space="preserve">Φ3 · Ετήσια απόσβεση μηχανήματος 10% επί 5.000 = 500 €</t>
  </si>
  <si>
    <t xml:space="preserve">66.00</t>
  </si>
  <si>
    <t xml:space="preserve">Αποσβέσεις παγίων</t>
  </si>
  <si>
    <t xml:space="preserve">12.99</t>
  </si>
  <si>
    <t xml:space="preserve">    Αποσβεσμένα μηχανήματα</t>
  </si>
  <si>
    <t xml:space="preserve">➤ Κατανέμει το κόστος του παγίου στα χρόνια χρήσης. Ο 12.99 (αποσβεσμένα) μειώνει την αξία του παγίου.</t>
  </si>
  <si>
    <t xml:space="preserve">Φ4 · Απόδοση ΦΠΑ 1.000 € στο δημόσιο (από Φ1) με έμβασμα</t>
  </si>
  <si>
    <t xml:space="preserve">ΦΠΑ αποδοτέος</t>
  </si>
  <si>
    <t xml:space="preserve">➤ Κλείνει η υποχρέωση «ΦΠΑ αποδοτέος» με πληρωμή στην εφορία.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</si>
</sst>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;[RED]\-#,##0.00&quot; €&quot;;&quot;&quot;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.5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.5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C6EFCE"/>
      </patternFill>
    </fill>
    <fill>
      <patternFill patternType="solid">
        <fgColor rgb="FFF2F2F2"/>
        <bgColor rgb="FFFFFFFF"/>
      </patternFill>
    </fill>
    <fill>
      <patternFill patternType="solid">
        <fgColor rgb="FF2E5496"/>
        <bgColor rgb="FF1F3864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  <col collapsed="false" customWidth="true" hidden="false" outlineLevel="0" max="4" min="3" style="0" width="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21.75" hidden="false" customHeight="true" outlineLevel="0" collapsed="false">
      <c r="A2" s="2" t="s">
        <v>1</v>
      </c>
      <c r="B2" s="2"/>
      <c r="C2" s="2"/>
      <c r="D2" s="2"/>
    </row>
    <row r="4" customFormat="false" ht="25.5" hidden="false" customHeight="true" outlineLevel="0" collapsed="false">
      <c r="A4" s="3" t="s">
        <v>2</v>
      </c>
      <c r="B4" s="3" t="s">
        <v>3</v>
      </c>
      <c r="C4" s="4" t="s">
        <v>4</v>
      </c>
      <c r="D4" s="4"/>
    </row>
    <row r="5" customFormat="false" ht="25.5" hidden="false" customHeight="true" outlineLevel="0" collapsed="false">
      <c r="A5" s="5" t="s">
        <v>5</v>
      </c>
      <c r="B5" s="6" t="s">
        <v>6</v>
      </c>
      <c r="C5" s="7" t="s">
        <v>7</v>
      </c>
      <c r="D5" s="7"/>
    </row>
    <row r="6" customFormat="false" ht="25.5" hidden="false" customHeight="true" outlineLevel="0" collapsed="false">
      <c r="A6" s="5" t="s">
        <v>8</v>
      </c>
      <c r="B6" s="6" t="s">
        <v>9</v>
      </c>
      <c r="C6" s="7" t="s">
        <v>10</v>
      </c>
      <c r="D6" s="7"/>
    </row>
    <row r="7" customFormat="false" ht="25.5" hidden="false" customHeight="true" outlineLevel="0" collapsed="false">
      <c r="A7" s="5" t="s">
        <v>11</v>
      </c>
      <c r="B7" s="6" t="s">
        <v>12</v>
      </c>
      <c r="C7" s="7" t="s">
        <v>13</v>
      </c>
      <c r="D7" s="7"/>
    </row>
    <row r="8" customFormat="false" ht="25.5" hidden="false" customHeight="true" outlineLevel="0" collapsed="false">
      <c r="A8" s="5" t="s">
        <v>14</v>
      </c>
      <c r="B8" s="6" t="s">
        <v>15</v>
      </c>
      <c r="C8" s="7" t="s">
        <v>10</v>
      </c>
      <c r="D8" s="7"/>
    </row>
    <row r="9" customFormat="false" ht="25.5" hidden="false" customHeight="true" outlineLevel="0" collapsed="false">
      <c r="A9" s="5" t="s">
        <v>16</v>
      </c>
      <c r="B9" s="6" t="s">
        <v>17</v>
      </c>
      <c r="C9" s="7" t="s">
        <v>13</v>
      </c>
      <c r="D9" s="7"/>
    </row>
    <row r="10" customFormat="false" ht="25.5" hidden="false" customHeight="true" outlineLevel="0" collapsed="false">
      <c r="A10" s="5" t="s">
        <v>18</v>
      </c>
      <c r="B10" s="6" t="s">
        <v>19</v>
      </c>
      <c r="C10" s="7" t="s">
        <v>20</v>
      </c>
      <c r="D10" s="7"/>
    </row>
    <row r="12" customFormat="false" ht="30" hidden="false" customHeight="true" outlineLevel="0" collapsed="false">
      <c r="A12" s="8" t="s">
        <v>21</v>
      </c>
      <c r="B12" s="8"/>
      <c r="C12" s="8"/>
      <c r="D12" s="8"/>
    </row>
  </sheetData>
  <mergeCells count="10">
    <mergeCell ref="A1:D1"/>
    <mergeCell ref="A2:D2"/>
    <mergeCell ref="C4:D4"/>
    <mergeCell ref="C5:D5"/>
    <mergeCell ref="C6:D6"/>
    <mergeCell ref="C7:D7"/>
    <mergeCell ref="C8:D8"/>
    <mergeCell ref="C9:D9"/>
    <mergeCell ref="C10:D10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2"/>
    <col collapsed="false" customWidth="true" hidden="false" outlineLevel="0" max="4" min="3" style="0" width="15"/>
  </cols>
  <sheetData>
    <row r="1" customFormat="false" ht="27.75" hidden="false" customHeight="true" outlineLevel="0" collapsed="false">
      <c r="A1" s="1" t="s">
        <v>22</v>
      </c>
      <c r="B1" s="1"/>
      <c r="C1" s="1"/>
      <c r="D1" s="1"/>
    </row>
    <row r="2" customFormat="false" ht="21.75" hidden="false" customHeight="true" outlineLevel="0" collapsed="false">
      <c r="A2" s="2" t="s">
        <v>23</v>
      </c>
      <c r="B2" s="2"/>
      <c r="C2" s="2"/>
      <c r="D2" s="2"/>
    </row>
    <row r="4" customFormat="false" ht="19.5" hidden="false" customHeight="true" outlineLevel="0" collapsed="false">
      <c r="A4" s="9" t="s">
        <v>24</v>
      </c>
      <c r="B4" s="9"/>
      <c r="C4" s="9"/>
      <c r="D4" s="9"/>
    </row>
    <row r="5" customFormat="false" ht="15" hidden="false" customHeight="false" outlineLevel="0" collapsed="false">
      <c r="A5" s="4" t="s">
        <v>25</v>
      </c>
      <c r="B5" s="3" t="s">
        <v>26</v>
      </c>
      <c r="C5" s="4" t="s">
        <v>27</v>
      </c>
      <c r="D5" s="4" t="s">
        <v>28</v>
      </c>
    </row>
    <row r="6" customFormat="false" ht="15" hidden="false" customHeight="false" outlineLevel="0" collapsed="false">
      <c r="A6" s="10" t="s">
        <v>29</v>
      </c>
      <c r="B6" s="11" t="s">
        <v>30</v>
      </c>
      <c r="C6" s="12" t="n">
        <v>1000</v>
      </c>
      <c r="D6" s="12"/>
    </row>
    <row r="7" customFormat="false" ht="15" hidden="false" customHeight="false" outlineLevel="0" collapsed="false">
      <c r="A7" s="13" t="s">
        <v>31</v>
      </c>
      <c r="B7" s="14" t="s">
        <v>32</v>
      </c>
      <c r="C7" s="15" t="n">
        <v>240</v>
      </c>
      <c r="D7" s="15"/>
    </row>
    <row r="8" customFormat="false" ht="15" hidden="false" customHeight="false" outlineLevel="0" collapsed="false">
      <c r="A8" s="10" t="s">
        <v>33</v>
      </c>
      <c r="B8" s="11" t="s">
        <v>34</v>
      </c>
      <c r="C8" s="12"/>
      <c r="D8" s="12" t="n">
        <v>1240</v>
      </c>
    </row>
    <row r="9" customFormat="false" ht="15" hidden="false" customHeight="false" outlineLevel="0" collapsed="false">
      <c r="A9" s="16" t="str">
        <f aca="false">IF(ROUND(C9-D9,2)=0,"✓","✗")</f>
        <v>✓</v>
      </c>
      <c r="B9" s="17" t="s">
        <v>35</v>
      </c>
      <c r="C9" s="18" t="n">
        <f aca="false">SUM(C6:C8)</f>
        <v>1240</v>
      </c>
      <c r="D9" s="18" t="n">
        <f aca="false">SUM(D6:D8)</f>
        <v>1240</v>
      </c>
    </row>
    <row r="10" customFormat="false" ht="42" hidden="false" customHeight="true" outlineLevel="0" collapsed="false">
      <c r="A10" s="19" t="s">
        <v>36</v>
      </c>
      <c r="B10" s="19"/>
      <c r="C10" s="19"/>
      <c r="D10" s="19"/>
    </row>
    <row r="12" customFormat="false" ht="19.5" hidden="false" customHeight="true" outlineLevel="0" collapsed="false">
      <c r="A12" s="9" t="s">
        <v>37</v>
      </c>
      <c r="B12" s="9"/>
      <c r="C12" s="9"/>
      <c r="D12" s="9"/>
    </row>
    <row r="13" customFormat="false" ht="15" hidden="false" customHeight="false" outlineLevel="0" collapsed="false">
      <c r="A13" s="4" t="s">
        <v>25</v>
      </c>
      <c r="B13" s="3" t="s">
        <v>26</v>
      </c>
      <c r="C13" s="4" t="s">
        <v>27</v>
      </c>
      <c r="D13" s="4" t="s">
        <v>28</v>
      </c>
    </row>
    <row r="14" customFormat="false" ht="15" hidden="false" customHeight="false" outlineLevel="0" collapsed="false">
      <c r="A14" s="10" t="s">
        <v>29</v>
      </c>
      <c r="B14" s="11" t="s">
        <v>30</v>
      </c>
      <c r="C14" s="12" t="n">
        <v>2000</v>
      </c>
      <c r="D14" s="12"/>
    </row>
    <row r="15" customFormat="false" ht="15" hidden="false" customHeight="false" outlineLevel="0" collapsed="false">
      <c r="A15" s="13" t="s">
        <v>31</v>
      </c>
      <c r="B15" s="14" t="s">
        <v>32</v>
      </c>
      <c r="C15" s="15" t="n">
        <v>480</v>
      </c>
      <c r="D15" s="15"/>
    </row>
    <row r="16" customFormat="false" ht="15" hidden="false" customHeight="false" outlineLevel="0" collapsed="false">
      <c r="A16" s="10" t="s">
        <v>38</v>
      </c>
      <c r="B16" s="11" t="s">
        <v>39</v>
      </c>
      <c r="C16" s="12"/>
      <c r="D16" s="12" t="n">
        <v>2480</v>
      </c>
    </row>
    <row r="17" customFormat="false" ht="15" hidden="false" customHeight="false" outlineLevel="0" collapsed="false">
      <c r="A17" s="16" t="str">
        <f aca="false">IF(ROUND(C17-D17,2)=0,"✓","✗")</f>
        <v>✓</v>
      </c>
      <c r="B17" s="17" t="s">
        <v>35</v>
      </c>
      <c r="C17" s="18" t="n">
        <f aca="false">SUM(C14:C16)</f>
        <v>2480</v>
      </c>
      <c r="D17" s="18" t="n">
        <f aca="false">SUM(D14:D16)</f>
        <v>2480</v>
      </c>
    </row>
    <row r="18" customFormat="false" ht="30" hidden="false" customHeight="true" outlineLevel="0" collapsed="false">
      <c r="A18" s="19" t="s">
        <v>40</v>
      </c>
      <c r="B18" s="19"/>
      <c r="C18" s="19"/>
      <c r="D18" s="19"/>
    </row>
    <row r="20" customFormat="false" ht="19.5" hidden="false" customHeight="true" outlineLevel="0" collapsed="false">
      <c r="A20" s="9" t="s">
        <v>41</v>
      </c>
      <c r="B20" s="9"/>
      <c r="C20" s="9"/>
      <c r="D20" s="9"/>
    </row>
    <row r="21" customFormat="false" ht="15" hidden="false" customHeight="false" outlineLevel="0" collapsed="false">
      <c r="A21" s="4" t="s">
        <v>25</v>
      </c>
      <c r="B21" s="3" t="s">
        <v>26</v>
      </c>
      <c r="C21" s="4" t="s">
        <v>27</v>
      </c>
      <c r="D21" s="4" t="s">
        <v>28</v>
      </c>
    </row>
    <row r="22" customFormat="false" ht="15" hidden="false" customHeight="false" outlineLevel="0" collapsed="false">
      <c r="A22" s="10" t="s">
        <v>33</v>
      </c>
      <c r="B22" s="11" t="s">
        <v>42</v>
      </c>
      <c r="C22" s="12" t="n">
        <v>500</v>
      </c>
      <c r="D22" s="12"/>
    </row>
    <row r="23" customFormat="false" ht="15" hidden="false" customHeight="false" outlineLevel="0" collapsed="false">
      <c r="A23" s="13" t="s">
        <v>43</v>
      </c>
      <c r="B23" s="14" t="s">
        <v>44</v>
      </c>
      <c r="C23" s="15"/>
      <c r="D23" s="15" t="n">
        <v>500</v>
      </c>
    </row>
    <row r="24" customFormat="false" ht="15" hidden="false" customHeight="false" outlineLevel="0" collapsed="false">
      <c r="A24" s="16" t="str">
        <f aca="false">IF(ROUND(C24-D24,2)=0,"✓","✗")</f>
        <v>✓</v>
      </c>
      <c r="B24" s="17" t="s">
        <v>35</v>
      </c>
      <c r="C24" s="18" t="n">
        <f aca="false">SUM(C22:C23)</f>
        <v>500</v>
      </c>
      <c r="D24" s="18" t="n">
        <f aca="false">SUM(D22:D23)</f>
        <v>500</v>
      </c>
    </row>
    <row r="25" customFormat="false" ht="42" hidden="false" customHeight="true" outlineLevel="0" collapsed="false">
      <c r="A25" s="19" t="s">
        <v>45</v>
      </c>
      <c r="B25" s="19"/>
      <c r="C25" s="19"/>
      <c r="D25" s="19"/>
    </row>
    <row r="27" customFormat="false" ht="19.5" hidden="false" customHeight="true" outlineLevel="0" collapsed="false">
      <c r="A27" s="9" t="s">
        <v>46</v>
      </c>
      <c r="B27" s="9"/>
      <c r="C27" s="9"/>
      <c r="D27" s="9"/>
    </row>
    <row r="28" customFormat="false" ht="15" hidden="false" customHeight="false" outlineLevel="0" collapsed="false">
      <c r="A28" s="4" t="s">
        <v>25</v>
      </c>
      <c r="B28" s="3" t="s">
        <v>26</v>
      </c>
      <c r="C28" s="4" t="s">
        <v>27</v>
      </c>
      <c r="D28" s="4" t="s">
        <v>28</v>
      </c>
    </row>
    <row r="29" customFormat="false" ht="15" hidden="false" customHeight="false" outlineLevel="0" collapsed="false">
      <c r="A29" s="10" t="s">
        <v>33</v>
      </c>
      <c r="B29" s="11" t="s">
        <v>47</v>
      </c>
      <c r="C29" s="12" t="n">
        <v>248</v>
      </c>
      <c r="D29" s="12"/>
    </row>
    <row r="30" customFormat="false" ht="15" hidden="false" customHeight="false" outlineLevel="0" collapsed="false">
      <c r="A30" s="13" t="s">
        <v>29</v>
      </c>
      <c r="B30" s="14" t="s">
        <v>48</v>
      </c>
      <c r="C30" s="15"/>
      <c r="D30" s="15" t="n">
        <v>200</v>
      </c>
    </row>
    <row r="31" customFormat="false" ht="15" hidden="false" customHeight="false" outlineLevel="0" collapsed="false">
      <c r="A31" s="10" t="s">
        <v>31</v>
      </c>
      <c r="B31" s="11" t="s">
        <v>49</v>
      </c>
      <c r="C31" s="12"/>
      <c r="D31" s="12" t="n">
        <v>48</v>
      </c>
    </row>
    <row r="32" customFormat="false" ht="15" hidden="false" customHeight="false" outlineLevel="0" collapsed="false">
      <c r="A32" s="16" t="str">
        <f aca="false">IF(ROUND(C32-D32,2)=0,"✓","✗")</f>
        <v>✓</v>
      </c>
      <c r="B32" s="17" t="s">
        <v>35</v>
      </c>
      <c r="C32" s="18" t="n">
        <f aca="false">SUM(C29:C31)</f>
        <v>248</v>
      </c>
      <c r="D32" s="18" t="n">
        <f aca="false">SUM(D29:D31)</f>
        <v>248</v>
      </c>
    </row>
    <row r="33" customFormat="false" ht="42" hidden="false" customHeight="true" outlineLevel="0" collapsed="false">
      <c r="A33" s="19" t="s">
        <v>50</v>
      </c>
      <c r="B33" s="19"/>
      <c r="C33" s="19"/>
      <c r="D33" s="19"/>
    </row>
    <row r="35" customFormat="false" ht="19.5" hidden="false" customHeight="true" outlineLevel="0" collapsed="false">
      <c r="A35" s="9" t="s">
        <v>51</v>
      </c>
      <c r="B35" s="9"/>
      <c r="C35" s="9"/>
      <c r="D35" s="9"/>
    </row>
    <row r="36" customFormat="false" ht="15" hidden="false" customHeight="false" outlineLevel="0" collapsed="false">
      <c r="A36" s="4" t="s">
        <v>25</v>
      </c>
      <c r="B36" s="3" t="s">
        <v>26</v>
      </c>
      <c r="C36" s="4" t="s">
        <v>27</v>
      </c>
      <c r="D36" s="4" t="s">
        <v>28</v>
      </c>
    </row>
    <row r="37" customFormat="false" ht="15" hidden="false" customHeight="false" outlineLevel="0" collapsed="false">
      <c r="A37" s="10" t="s">
        <v>33</v>
      </c>
      <c r="B37" s="11" t="s">
        <v>47</v>
      </c>
      <c r="C37" s="12" t="n">
        <v>124</v>
      </c>
      <c r="D37" s="12"/>
    </row>
    <row r="38" customFormat="false" ht="15" hidden="false" customHeight="false" outlineLevel="0" collapsed="false">
      <c r="A38" s="13" t="s">
        <v>29</v>
      </c>
      <c r="B38" s="14" t="s">
        <v>52</v>
      </c>
      <c r="C38" s="15"/>
      <c r="D38" s="15" t="n">
        <v>100</v>
      </c>
    </row>
    <row r="39" customFormat="false" ht="15" hidden="false" customHeight="false" outlineLevel="0" collapsed="false">
      <c r="A39" s="10" t="s">
        <v>31</v>
      </c>
      <c r="B39" s="11" t="s">
        <v>49</v>
      </c>
      <c r="C39" s="12"/>
      <c r="D39" s="12" t="n">
        <v>24</v>
      </c>
    </row>
    <row r="40" customFormat="false" ht="15" hidden="false" customHeight="false" outlineLevel="0" collapsed="false">
      <c r="A40" s="16" t="str">
        <f aca="false">IF(ROUND(C40-D40,2)=0,"✓","✗")</f>
        <v>✓</v>
      </c>
      <c r="B40" s="17" t="s">
        <v>35</v>
      </c>
      <c r="C40" s="18" t="n">
        <f aca="false">SUM(C37:C39)</f>
        <v>124</v>
      </c>
      <c r="D40" s="18" t="n">
        <f aca="false">SUM(D37:D39)</f>
        <v>124</v>
      </c>
    </row>
    <row r="41" customFormat="false" ht="30" hidden="false" customHeight="true" outlineLevel="0" collapsed="false">
      <c r="A41" s="19" t="s">
        <v>53</v>
      </c>
      <c r="B41" s="19"/>
      <c r="C41" s="19"/>
      <c r="D41" s="19"/>
    </row>
    <row r="43" customFormat="false" ht="19.5" hidden="false" customHeight="true" outlineLevel="0" collapsed="false">
      <c r="A43" s="9" t="s">
        <v>54</v>
      </c>
      <c r="B43" s="9"/>
      <c r="C43" s="9"/>
      <c r="D43" s="9"/>
    </row>
    <row r="44" customFormat="false" ht="15" hidden="false" customHeight="false" outlineLevel="0" collapsed="false">
      <c r="A44" s="4" t="s">
        <v>25</v>
      </c>
      <c r="B44" s="3" t="s">
        <v>26</v>
      </c>
      <c r="C44" s="4" t="s">
        <v>27</v>
      </c>
      <c r="D44" s="4" t="s">
        <v>28</v>
      </c>
    </row>
    <row r="45" customFormat="false" ht="15" hidden="false" customHeight="false" outlineLevel="0" collapsed="false">
      <c r="A45" s="10" t="s">
        <v>55</v>
      </c>
      <c r="B45" s="11" t="s">
        <v>56</v>
      </c>
      <c r="C45" s="12" t="n">
        <v>5000</v>
      </c>
      <c r="D45" s="12"/>
    </row>
    <row r="46" customFormat="false" ht="15" hidden="false" customHeight="false" outlineLevel="0" collapsed="false">
      <c r="A46" s="13" t="s">
        <v>31</v>
      </c>
      <c r="B46" s="14" t="s">
        <v>32</v>
      </c>
      <c r="C46" s="15" t="n">
        <v>1200</v>
      </c>
      <c r="D46" s="15"/>
    </row>
    <row r="47" customFormat="false" ht="15" hidden="false" customHeight="false" outlineLevel="0" collapsed="false">
      <c r="A47" s="10" t="s">
        <v>43</v>
      </c>
      <c r="B47" s="11" t="s">
        <v>44</v>
      </c>
      <c r="C47" s="12"/>
      <c r="D47" s="12" t="n">
        <v>6200</v>
      </c>
    </row>
    <row r="48" customFormat="false" ht="15" hidden="false" customHeight="false" outlineLevel="0" collapsed="false">
      <c r="A48" s="16" t="str">
        <f aca="false">IF(ROUND(C48-D48,2)=0,"✓","✗")</f>
        <v>✓</v>
      </c>
      <c r="B48" s="17" t="s">
        <v>35</v>
      </c>
      <c r="C48" s="18" t="n">
        <f aca="false">SUM(C45:C47)</f>
        <v>6200</v>
      </c>
      <c r="D48" s="18" t="n">
        <f aca="false">SUM(D45:D47)</f>
        <v>6200</v>
      </c>
    </row>
    <row r="49" customFormat="false" ht="42" hidden="false" customHeight="true" outlineLevel="0" collapsed="false">
      <c r="A49" s="19" t="s">
        <v>57</v>
      </c>
      <c r="B49" s="19"/>
      <c r="C49" s="19"/>
      <c r="D49" s="19"/>
    </row>
    <row r="51" customFormat="false" ht="19.5" hidden="false" customHeight="true" outlineLevel="0" collapsed="false">
      <c r="A51" s="9" t="s">
        <v>58</v>
      </c>
      <c r="B51" s="9"/>
      <c r="C51" s="9"/>
      <c r="D51" s="9"/>
    </row>
    <row r="52" customFormat="false" ht="15" hidden="false" customHeight="false" outlineLevel="0" collapsed="false">
      <c r="A52" s="4" t="s">
        <v>25</v>
      </c>
      <c r="B52" s="3" t="s">
        <v>26</v>
      </c>
      <c r="C52" s="4" t="s">
        <v>27</v>
      </c>
      <c r="D52" s="4" t="s">
        <v>28</v>
      </c>
    </row>
    <row r="53" customFormat="false" ht="15" hidden="false" customHeight="false" outlineLevel="0" collapsed="false">
      <c r="A53" s="10" t="s">
        <v>29</v>
      </c>
      <c r="B53" s="11" t="s">
        <v>59</v>
      </c>
      <c r="C53" s="12" t="n">
        <v>1100</v>
      </c>
      <c r="D53" s="12"/>
    </row>
    <row r="54" customFormat="false" ht="15" hidden="false" customHeight="false" outlineLevel="0" collapsed="false">
      <c r="A54" s="13" t="s">
        <v>31</v>
      </c>
      <c r="B54" s="14" t="s">
        <v>32</v>
      </c>
      <c r="C54" s="15" t="n">
        <v>264</v>
      </c>
      <c r="D54" s="15"/>
    </row>
    <row r="55" customFormat="false" ht="15" hidden="false" customHeight="false" outlineLevel="0" collapsed="false">
      <c r="A55" s="10" t="s">
        <v>33</v>
      </c>
      <c r="B55" s="11" t="s">
        <v>34</v>
      </c>
      <c r="C55" s="12"/>
      <c r="D55" s="12" t="n">
        <v>1364</v>
      </c>
    </row>
    <row r="56" customFormat="false" ht="15" hidden="false" customHeight="false" outlineLevel="0" collapsed="false">
      <c r="A56" s="16" t="str">
        <f aca="false">IF(ROUND(C56-D56,2)=0,"✓","✗")</f>
        <v>✓</v>
      </c>
      <c r="B56" s="17" t="s">
        <v>35</v>
      </c>
      <c r="C56" s="18" t="n">
        <f aca="false">SUM(C53:C55)</f>
        <v>1364</v>
      </c>
      <c r="D56" s="18" t="n">
        <f aca="false">SUM(D53:D55)</f>
        <v>1364</v>
      </c>
    </row>
    <row r="57" customFormat="false" ht="30" hidden="false" customHeight="true" outlineLevel="0" collapsed="false">
      <c r="A57" s="19" t="s">
        <v>60</v>
      </c>
      <c r="B57" s="19"/>
      <c r="C57" s="19"/>
      <c r="D57" s="19"/>
    </row>
  </sheetData>
  <mergeCells count="16">
    <mergeCell ref="A1:D1"/>
    <mergeCell ref="A2:D2"/>
    <mergeCell ref="A4:D4"/>
    <mergeCell ref="A10:D10"/>
    <mergeCell ref="A12:D12"/>
    <mergeCell ref="A18:D18"/>
    <mergeCell ref="A20:D20"/>
    <mergeCell ref="A25:D25"/>
    <mergeCell ref="A27:D27"/>
    <mergeCell ref="A33:D33"/>
    <mergeCell ref="A35:D35"/>
    <mergeCell ref="A41:D41"/>
    <mergeCell ref="A43:D43"/>
    <mergeCell ref="A49:D49"/>
    <mergeCell ref="A51:D51"/>
    <mergeCell ref="A57:D57"/>
  </mergeCells>
  <conditionalFormatting sqref="A9">
    <cfRule type="expression" priority="2" aboveAverage="0" equalAverage="0" bottom="0" percent="0" rank="0" text="" dxfId="0">
      <formula>A9="✓"</formula>
    </cfRule>
    <cfRule type="expression" priority="3" aboveAverage="0" equalAverage="0" bottom="0" percent="0" rank="0" text="" dxfId="1">
      <formula>A9="✗"</formula>
    </cfRule>
  </conditionalFormatting>
  <conditionalFormatting sqref="A17">
    <cfRule type="expression" priority="4" aboveAverage="0" equalAverage="0" bottom="0" percent="0" rank="0" text="" dxfId="0">
      <formula>A17="✓"</formula>
    </cfRule>
    <cfRule type="expression" priority="5" aboveAverage="0" equalAverage="0" bottom="0" percent="0" rank="0" text="" dxfId="1">
      <formula>A17="✗"</formula>
    </cfRule>
  </conditionalFormatting>
  <conditionalFormatting sqref="A24">
    <cfRule type="expression" priority="6" aboveAverage="0" equalAverage="0" bottom="0" percent="0" rank="0" text="" dxfId="0">
      <formula>A24="✓"</formula>
    </cfRule>
    <cfRule type="expression" priority="7" aboveAverage="0" equalAverage="0" bottom="0" percent="0" rank="0" text="" dxfId="1">
      <formula>A24="✗"</formula>
    </cfRule>
  </conditionalFormatting>
  <conditionalFormatting sqref="A32">
    <cfRule type="expression" priority="8" aboveAverage="0" equalAverage="0" bottom="0" percent="0" rank="0" text="" dxfId="0">
      <formula>A32="✓"</formula>
    </cfRule>
    <cfRule type="expression" priority="9" aboveAverage="0" equalAverage="0" bottom="0" percent="0" rank="0" text="" dxfId="1">
      <formula>A32="✗"</formula>
    </cfRule>
  </conditionalFormatting>
  <conditionalFormatting sqref="A40">
    <cfRule type="expression" priority="10" aboveAverage="0" equalAverage="0" bottom="0" percent="0" rank="0" text="" dxfId="0">
      <formula>A40="✓"</formula>
    </cfRule>
    <cfRule type="expression" priority="11" aboveAverage="0" equalAverage="0" bottom="0" percent="0" rank="0" text="" dxfId="1">
      <formula>A40="✗"</formula>
    </cfRule>
  </conditionalFormatting>
  <conditionalFormatting sqref="A48">
    <cfRule type="expression" priority="12" aboveAverage="0" equalAverage="0" bottom="0" percent="0" rank="0" text="" dxfId="0">
      <formula>A48="✓"</formula>
    </cfRule>
    <cfRule type="expression" priority="13" aboveAverage="0" equalAverage="0" bottom="0" percent="0" rank="0" text="" dxfId="1">
      <formula>A48="✗"</formula>
    </cfRule>
  </conditionalFormatting>
  <conditionalFormatting sqref="A56">
    <cfRule type="expression" priority="14" aboveAverage="0" equalAverage="0" bottom="0" percent="0" rank="0" text="" dxfId="0">
      <formula>A56="✓"</formula>
    </cfRule>
    <cfRule type="expression" priority="15" aboveAverage="0" equalAverage="0" bottom="0" percent="0" rank="0" text="" dxfId="1">
      <formula>A56="✗"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2"/>
    <col collapsed="false" customWidth="true" hidden="false" outlineLevel="0" max="4" min="3" style="0" width="15"/>
  </cols>
  <sheetData>
    <row r="1" customFormat="false" ht="27.75" hidden="false" customHeight="true" outlineLevel="0" collapsed="false">
      <c r="A1" s="1" t="s">
        <v>61</v>
      </c>
      <c r="B1" s="1"/>
      <c r="C1" s="1"/>
      <c r="D1" s="1"/>
    </row>
    <row r="2" customFormat="false" ht="21.75" hidden="false" customHeight="true" outlineLevel="0" collapsed="false">
      <c r="A2" s="2" t="s">
        <v>62</v>
      </c>
      <c r="B2" s="2"/>
      <c r="C2" s="2"/>
      <c r="D2" s="2"/>
    </row>
    <row r="4" customFormat="false" ht="19.5" hidden="false" customHeight="true" outlineLevel="0" collapsed="false">
      <c r="A4" s="9" t="s">
        <v>63</v>
      </c>
      <c r="B4" s="9"/>
      <c r="C4" s="9"/>
      <c r="D4" s="9"/>
    </row>
    <row r="5" customFormat="false" ht="15" hidden="false" customHeight="false" outlineLevel="0" collapsed="false">
      <c r="A5" s="4" t="s">
        <v>25</v>
      </c>
      <c r="B5" s="3" t="s">
        <v>26</v>
      </c>
      <c r="C5" s="4" t="s">
        <v>27</v>
      </c>
      <c r="D5" s="4" t="s">
        <v>28</v>
      </c>
    </row>
    <row r="6" customFormat="false" ht="15" hidden="false" customHeight="false" outlineLevel="0" collapsed="false">
      <c r="A6" s="10" t="s">
        <v>64</v>
      </c>
      <c r="B6" s="11" t="s">
        <v>65</v>
      </c>
      <c r="C6" s="12" t="n">
        <v>2480</v>
      </c>
      <c r="D6" s="12"/>
    </row>
    <row r="7" customFormat="false" ht="15" hidden="false" customHeight="false" outlineLevel="0" collapsed="false">
      <c r="A7" s="13" t="s">
        <v>66</v>
      </c>
      <c r="B7" s="14" t="s">
        <v>67</v>
      </c>
      <c r="C7" s="15"/>
      <c r="D7" s="15" t="n">
        <v>2000</v>
      </c>
    </row>
    <row r="8" customFormat="false" ht="15" hidden="false" customHeight="false" outlineLevel="0" collapsed="false">
      <c r="A8" s="10" t="s">
        <v>31</v>
      </c>
      <c r="B8" s="11" t="s">
        <v>68</v>
      </c>
      <c r="C8" s="12"/>
      <c r="D8" s="12" t="n">
        <v>480</v>
      </c>
    </row>
    <row r="9" customFormat="false" ht="15" hidden="false" customHeight="false" outlineLevel="0" collapsed="false">
      <c r="A9" s="16" t="str">
        <f aca="false">IF(ROUND(C9-D9,2)=0,"✓","✗")</f>
        <v>✓</v>
      </c>
      <c r="B9" s="17" t="s">
        <v>35</v>
      </c>
      <c r="C9" s="18" t="n">
        <f aca="false">SUM(C6:C8)</f>
        <v>2480</v>
      </c>
      <c r="D9" s="18" t="n">
        <f aca="false">SUM(D6:D8)</f>
        <v>2480</v>
      </c>
    </row>
    <row r="10" customFormat="false" ht="30" hidden="false" customHeight="true" outlineLevel="0" collapsed="false">
      <c r="A10" s="19" t="s">
        <v>69</v>
      </c>
      <c r="B10" s="19"/>
      <c r="C10" s="19"/>
      <c r="D10" s="19"/>
    </row>
    <row r="12" customFormat="false" ht="19.5" hidden="false" customHeight="true" outlineLevel="0" collapsed="false">
      <c r="A12" s="9" t="s">
        <v>70</v>
      </c>
      <c r="B12" s="9"/>
      <c r="C12" s="9"/>
      <c r="D12" s="9"/>
    </row>
    <row r="13" customFormat="false" ht="15" hidden="false" customHeight="false" outlineLevel="0" collapsed="false">
      <c r="A13" s="4" t="s">
        <v>25</v>
      </c>
      <c r="B13" s="3" t="s">
        <v>26</v>
      </c>
      <c r="C13" s="4" t="s">
        <v>27</v>
      </c>
      <c r="D13" s="4" t="s">
        <v>28</v>
      </c>
    </row>
    <row r="14" customFormat="false" ht="15" hidden="false" customHeight="false" outlineLevel="0" collapsed="false">
      <c r="A14" s="10" t="s">
        <v>38</v>
      </c>
      <c r="B14" s="11" t="s">
        <v>71</v>
      </c>
      <c r="C14" s="12" t="n">
        <v>1240</v>
      </c>
      <c r="D14" s="12"/>
    </row>
    <row r="15" customFormat="false" ht="15" hidden="false" customHeight="false" outlineLevel="0" collapsed="false">
      <c r="A15" s="13" t="s">
        <v>66</v>
      </c>
      <c r="B15" s="14" t="s">
        <v>72</v>
      </c>
      <c r="C15" s="15"/>
      <c r="D15" s="15" t="n">
        <v>1000</v>
      </c>
    </row>
    <row r="16" customFormat="false" ht="15" hidden="false" customHeight="false" outlineLevel="0" collapsed="false">
      <c r="A16" s="10" t="s">
        <v>31</v>
      </c>
      <c r="B16" s="11" t="s">
        <v>68</v>
      </c>
      <c r="C16" s="12"/>
      <c r="D16" s="12" t="n">
        <v>240</v>
      </c>
    </row>
    <row r="17" customFormat="false" ht="15" hidden="false" customHeight="false" outlineLevel="0" collapsed="false">
      <c r="A17" s="16" t="str">
        <f aca="false">IF(ROUND(C17-D17,2)=0,"✓","✗")</f>
        <v>✓</v>
      </c>
      <c r="B17" s="17" t="s">
        <v>35</v>
      </c>
      <c r="C17" s="18" t="n">
        <f aca="false">SUM(C14:C16)</f>
        <v>1240</v>
      </c>
      <c r="D17" s="18" t="n">
        <f aca="false">SUM(D14:D16)</f>
        <v>1240</v>
      </c>
    </row>
    <row r="18" customFormat="false" ht="30" hidden="false" customHeight="true" outlineLevel="0" collapsed="false">
      <c r="A18" s="19" t="s">
        <v>73</v>
      </c>
      <c r="B18" s="19"/>
      <c r="C18" s="19"/>
      <c r="D18" s="19"/>
    </row>
    <row r="20" customFormat="false" ht="19.5" hidden="false" customHeight="true" outlineLevel="0" collapsed="false">
      <c r="A20" s="9" t="s">
        <v>74</v>
      </c>
      <c r="B20" s="9"/>
      <c r="C20" s="9"/>
      <c r="D20" s="9"/>
    </row>
    <row r="21" customFormat="false" ht="15" hidden="false" customHeight="false" outlineLevel="0" collapsed="false">
      <c r="A21" s="4" t="s">
        <v>25</v>
      </c>
      <c r="B21" s="3" t="s">
        <v>26</v>
      </c>
      <c r="C21" s="4" t="s">
        <v>27</v>
      </c>
      <c r="D21" s="4" t="s">
        <v>28</v>
      </c>
    </row>
    <row r="22" customFormat="false" ht="15" hidden="false" customHeight="false" outlineLevel="0" collapsed="false">
      <c r="A22" s="10" t="s">
        <v>43</v>
      </c>
      <c r="B22" s="11" t="s">
        <v>75</v>
      </c>
      <c r="C22" s="12" t="n">
        <v>1215.2</v>
      </c>
      <c r="D22" s="12"/>
    </row>
    <row r="23" customFormat="false" ht="15" hidden="false" customHeight="false" outlineLevel="0" collapsed="false">
      <c r="A23" s="13" t="s">
        <v>76</v>
      </c>
      <c r="B23" s="14" t="s">
        <v>77</v>
      </c>
      <c r="C23" s="15" t="n">
        <v>24.8</v>
      </c>
      <c r="D23" s="15"/>
    </row>
    <row r="24" customFormat="false" ht="15" hidden="false" customHeight="false" outlineLevel="0" collapsed="false">
      <c r="A24" s="10" t="s">
        <v>66</v>
      </c>
      <c r="B24" s="11" t="s">
        <v>78</v>
      </c>
      <c r="C24" s="12"/>
      <c r="D24" s="12" t="n">
        <v>1000</v>
      </c>
    </row>
    <row r="25" customFormat="false" ht="15" hidden="false" customHeight="false" outlineLevel="0" collapsed="false">
      <c r="A25" s="13" t="s">
        <v>31</v>
      </c>
      <c r="B25" s="14" t="s">
        <v>68</v>
      </c>
      <c r="C25" s="15"/>
      <c r="D25" s="15" t="n">
        <v>240</v>
      </c>
    </row>
    <row r="26" customFormat="false" ht="15" hidden="false" customHeight="false" outlineLevel="0" collapsed="false">
      <c r="A26" s="16" t="str">
        <f aca="false">IF(ROUND(C26-D26,2)=0,"✓","✗")</f>
        <v>✓</v>
      </c>
      <c r="B26" s="17" t="s">
        <v>35</v>
      </c>
      <c r="C26" s="18" t="n">
        <f aca="false">SUM(C22:C25)</f>
        <v>1240</v>
      </c>
      <c r="D26" s="18" t="n">
        <f aca="false">SUM(D22:D25)</f>
        <v>1240</v>
      </c>
    </row>
    <row r="27" customFormat="false" ht="30" hidden="false" customHeight="true" outlineLevel="0" collapsed="false">
      <c r="A27" s="19" t="s">
        <v>79</v>
      </c>
      <c r="B27" s="19"/>
      <c r="C27" s="19"/>
      <c r="D27" s="19"/>
    </row>
    <row r="29" customFormat="false" ht="19.5" hidden="false" customHeight="true" outlineLevel="0" collapsed="false">
      <c r="A29" s="9" t="s">
        <v>80</v>
      </c>
      <c r="B29" s="9"/>
      <c r="C29" s="9"/>
      <c r="D29" s="9"/>
    </row>
    <row r="30" customFormat="false" ht="15" hidden="false" customHeight="false" outlineLevel="0" collapsed="false">
      <c r="A30" s="4" t="s">
        <v>25</v>
      </c>
      <c r="B30" s="3" t="s">
        <v>26</v>
      </c>
      <c r="C30" s="4" t="s">
        <v>27</v>
      </c>
      <c r="D30" s="4" t="s">
        <v>28</v>
      </c>
    </row>
    <row r="31" customFormat="false" ht="15" hidden="false" customHeight="false" outlineLevel="0" collapsed="false">
      <c r="A31" s="10" t="s">
        <v>66</v>
      </c>
      <c r="B31" s="11" t="s">
        <v>81</v>
      </c>
      <c r="C31" s="12" t="n">
        <v>300</v>
      </c>
      <c r="D31" s="12"/>
    </row>
    <row r="32" customFormat="false" ht="15" hidden="false" customHeight="false" outlineLevel="0" collapsed="false">
      <c r="A32" s="13" t="s">
        <v>31</v>
      </c>
      <c r="B32" s="14" t="s">
        <v>82</v>
      </c>
      <c r="C32" s="15" t="n">
        <v>72</v>
      </c>
      <c r="D32" s="15"/>
    </row>
    <row r="33" customFormat="false" ht="15" hidden="false" customHeight="false" outlineLevel="0" collapsed="false">
      <c r="A33" s="10" t="s">
        <v>64</v>
      </c>
      <c r="B33" s="11" t="s">
        <v>83</v>
      </c>
      <c r="C33" s="12"/>
      <c r="D33" s="12" t="n">
        <v>372</v>
      </c>
    </row>
    <row r="34" customFormat="false" ht="15" hidden="false" customHeight="false" outlineLevel="0" collapsed="false">
      <c r="A34" s="16" t="str">
        <f aca="false">IF(ROUND(C34-D34,2)=0,"✓","✗")</f>
        <v>✓</v>
      </c>
      <c r="B34" s="17" t="s">
        <v>35</v>
      </c>
      <c r="C34" s="18" t="n">
        <f aca="false">SUM(C31:C33)</f>
        <v>372</v>
      </c>
      <c r="D34" s="18" t="n">
        <f aca="false">SUM(D31:D33)</f>
        <v>372</v>
      </c>
    </row>
    <row r="35" customFormat="false" ht="42" hidden="false" customHeight="true" outlineLevel="0" collapsed="false">
      <c r="A35" s="19" t="s">
        <v>84</v>
      </c>
      <c r="B35" s="19"/>
      <c r="C35" s="19"/>
      <c r="D35" s="19"/>
    </row>
    <row r="37" customFormat="false" ht="19.5" hidden="false" customHeight="true" outlineLevel="0" collapsed="false">
      <c r="A37" s="9" t="s">
        <v>85</v>
      </c>
      <c r="B37" s="9"/>
      <c r="C37" s="9"/>
      <c r="D37" s="9"/>
    </row>
    <row r="38" customFormat="false" ht="15" hidden="false" customHeight="false" outlineLevel="0" collapsed="false">
      <c r="A38" s="4" t="s">
        <v>25</v>
      </c>
      <c r="B38" s="3" t="s">
        <v>26</v>
      </c>
      <c r="C38" s="4" t="s">
        <v>27</v>
      </c>
      <c r="D38" s="4" t="s">
        <v>28</v>
      </c>
    </row>
    <row r="39" customFormat="false" ht="15" hidden="false" customHeight="false" outlineLevel="0" collapsed="false">
      <c r="A39" s="10" t="s">
        <v>66</v>
      </c>
      <c r="B39" s="11" t="s">
        <v>86</v>
      </c>
      <c r="C39" s="12" t="n">
        <v>150</v>
      </c>
      <c r="D39" s="12"/>
    </row>
    <row r="40" customFormat="false" ht="15" hidden="false" customHeight="false" outlineLevel="0" collapsed="false">
      <c r="A40" s="13" t="s">
        <v>31</v>
      </c>
      <c r="B40" s="14" t="s">
        <v>82</v>
      </c>
      <c r="C40" s="15" t="n">
        <v>36</v>
      </c>
      <c r="D40" s="15"/>
    </row>
    <row r="41" customFormat="false" ht="15" hidden="false" customHeight="false" outlineLevel="0" collapsed="false">
      <c r="A41" s="10" t="s">
        <v>64</v>
      </c>
      <c r="B41" s="11" t="s">
        <v>83</v>
      </c>
      <c r="C41" s="12"/>
      <c r="D41" s="12" t="n">
        <v>186</v>
      </c>
    </row>
    <row r="42" customFormat="false" ht="15" hidden="false" customHeight="false" outlineLevel="0" collapsed="false">
      <c r="A42" s="16" t="str">
        <f aca="false">IF(ROUND(C42-D42,2)=0,"✓","✗")</f>
        <v>✓</v>
      </c>
      <c r="B42" s="17" t="s">
        <v>35</v>
      </c>
      <c r="C42" s="18" t="n">
        <f aca="false">SUM(C39:C41)</f>
        <v>186</v>
      </c>
      <c r="D42" s="18" t="n">
        <f aca="false">SUM(D39:D41)</f>
        <v>186</v>
      </c>
    </row>
    <row r="43" customFormat="false" ht="30" hidden="false" customHeight="true" outlineLevel="0" collapsed="false">
      <c r="A43" s="19" t="s">
        <v>87</v>
      </c>
      <c r="B43" s="19"/>
      <c r="C43" s="19"/>
      <c r="D43" s="19"/>
    </row>
    <row r="45" customFormat="false" ht="19.5" hidden="false" customHeight="true" outlineLevel="0" collapsed="false">
      <c r="A45" s="9" t="s">
        <v>88</v>
      </c>
      <c r="B45" s="9"/>
      <c r="C45" s="9"/>
      <c r="D45" s="9"/>
    </row>
    <row r="46" customFormat="false" ht="15" hidden="false" customHeight="false" outlineLevel="0" collapsed="false">
      <c r="A46" s="4" t="s">
        <v>25</v>
      </c>
      <c r="B46" s="3" t="s">
        <v>26</v>
      </c>
      <c r="C46" s="4" t="s">
        <v>27</v>
      </c>
      <c r="D46" s="4" t="s">
        <v>28</v>
      </c>
    </row>
    <row r="47" customFormat="false" ht="15" hidden="false" customHeight="false" outlineLevel="0" collapsed="false">
      <c r="A47" s="10" t="s">
        <v>43</v>
      </c>
      <c r="B47" s="11" t="s">
        <v>75</v>
      </c>
      <c r="C47" s="12" t="n">
        <v>600</v>
      </c>
      <c r="D47" s="12"/>
    </row>
    <row r="48" customFormat="false" ht="15" hidden="false" customHeight="false" outlineLevel="0" collapsed="false">
      <c r="A48" s="13" t="s">
        <v>64</v>
      </c>
      <c r="B48" s="14" t="s">
        <v>89</v>
      </c>
      <c r="C48" s="15"/>
      <c r="D48" s="15" t="n">
        <v>600</v>
      </c>
    </row>
    <row r="49" customFormat="false" ht="15" hidden="false" customHeight="false" outlineLevel="0" collapsed="false">
      <c r="A49" s="16" t="str">
        <f aca="false">IF(ROUND(C49-D49,2)=0,"✓","✗")</f>
        <v>✓</v>
      </c>
      <c r="B49" s="17" t="s">
        <v>35</v>
      </c>
      <c r="C49" s="18" t="n">
        <f aca="false">SUM(C47:C48)</f>
        <v>600</v>
      </c>
      <c r="D49" s="18" t="n">
        <f aca="false">SUM(D47:D48)</f>
        <v>600</v>
      </c>
    </row>
    <row r="50" customFormat="false" ht="30" hidden="false" customHeight="true" outlineLevel="0" collapsed="false">
      <c r="A50" s="19" t="s">
        <v>90</v>
      </c>
      <c r="B50" s="19"/>
      <c r="C50" s="19"/>
      <c r="D50" s="19"/>
    </row>
  </sheetData>
  <mergeCells count="14">
    <mergeCell ref="A1:D1"/>
    <mergeCell ref="A2:D2"/>
    <mergeCell ref="A4:D4"/>
    <mergeCell ref="A10:D10"/>
    <mergeCell ref="A12:D12"/>
    <mergeCell ref="A18:D18"/>
    <mergeCell ref="A20:D20"/>
    <mergeCell ref="A27:D27"/>
    <mergeCell ref="A29:D29"/>
    <mergeCell ref="A35:D35"/>
    <mergeCell ref="A37:D37"/>
    <mergeCell ref="A43:D43"/>
    <mergeCell ref="A45:D45"/>
    <mergeCell ref="A50:D50"/>
  </mergeCells>
  <conditionalFormatting sqref="A9">
    <cfRule type="expression" priority="2" aboveAverage="0" equalAverage="0" bottom="0" percent="0" rank="0" text="" dxfId="0">
      <formula>A9="✓"</formula>
    </cfRule>
    <cfRule type="expression" priority="3" aboveAverage="0" equalAverage="0" bottom="0" percent="0" rank="0" text="" dxfId="1">
      <formula>A9="✗"</formula>
    </cfRule>
  </conditionalFormatting>
  <conditionalFormatting sqref="A17">
    <cfRule type="expression" priority="4" aboveAverage="0" equalAverage="0" bottom="0" percent="0" rank="0" text="" dxfId="0">
      <formula>A17="✓"</formula>
    </cfRule>
    <cfRule type="expression" priority="5" aboveAverage="0" equalAverage="0" bottom="0" percent="0" rank="0" text="" dxfId="1">
      <formula>A17="✗"</formula>
    </cfRule>
  </conditionalFormatting>
  <conditionalFormatting sqref="A26">
    <cfRule type="expression" priority="6" aboveAverage="0" equalAverage="0" bottom="0" percent="0" rank="0" text="" dxfId="0">
      <formula>A26="✓"</formula>
    </cfRule>
    <cfRule type="expression" priority="7" aboveAverage="0" equalAverage="0" bottom="0" percent="0" rank="0" text="" dxfId="1">
      <formula>A26="✗"</formula>
    </cfRule>
  </conditionalFormatting>
  <conditionalFormatting sqref="A34">
    <cfRule type="expression" priority="8" aboveAverage="0" equalAverage="0" bottom="0" percent="0" rank="0" text="" dxfId="0">
      <formula>A34="✓"</formula>
    </cfRule>
    <cfRule type="expression" priority="9" aboveAverage="0" equalAverage="0" bottom="0" percent="0" rank="0" text="" dxfId="1">
      <formula>A34="✗"</formula>
    </cfRule>
  </conditionalFormatting>
  <conditionalFormatting sqref="A42">
    <cfRule type="expression" priority="10" aboveAverage="0" equalAverage="0" bottom="0" percent="0" rank="0" text="" dxfId="0">
      <formula>A42="✓"</formula>
    </cfRule>
    <cfRule type="expression" priority="11" aboveAverage="0" equalAverage="0" bottom="0" percent="0" rank="0" text="" dxfId="1">
      <formula>A42="✗"</formula>
    </cfRule>
  </conditionalFormatting>
  <conditionalFormatting sqref="A49">
    <cfRule type="expression" priority="12" aboveAverage="0" equalAverage="0" bottom="0" percent="0" rank="0" text="" dxfId="0">
      <formula>A49="✓"</formula>
    </cfRule>
    <cfRule type="expression" priority="13" aboveAverage="0" equalAverage="0" bottom="0" percent="0" rank="0" text="" dxfId="1">
      <formula>A49="✗"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2"/>
    <col collapsed="false" customWidth="true" hidden="false" outlineLevel="0" max="4" min="3" style="0" width="15"/>
  </cols>
  <sheetData>
    <row r="1" customFormat="false" ht="27.75" hidden="false" customHeight="true" outlineLevel="0" collapsed="false">
      <c r="A1" s="1" t="s">
        <v>91</v>
      </c>
      <c r="B1" s="1"/>
      <c r="C1" s="1"/>
      <c r="D1" s="1"/>
    </row>
    <row r="2" customFormat="false" ht="21.75" hidden="false" customHeight="true" outlineLevel="0" collapsed="false">
      <c r="A2" s="2" t="s">
        <v>92</v>
      </c>
      <c r="B2" s="2"/>
      <c r="C2" s="2"/>
      <c r="D2" s="2"/>
    </row>
    <row r="4" customFormat="false" ht="19.5" hidden="false" customHeight="true" outlineLevel="0" collapsed="false">
      <c r="A4" s="9" t="s">
        <v>93</v>
      </c>
      <c r="B4" s="9"/>
      <c r="C4" s="9"/>
      <c r="D4" s="9"/>
    </row>
    <row r="5" customFormat="false" ht="15" hidden="false" customHeight="false" outlineLevel="0" collapsed="false">
      <c r="A5" s="4" t="s">
        <v>25</v>
      </c>
      <c r="B5" s="3" t="s">
        <v>26</v>
      </c>
      <c r="C5" s="4" t="s">
        <v>27</v>
      </c>
      <c r="D5" s="4" t="s">
        <v>28</v>
      </c>
    </row>
    <row r="6" customFormat="false" ht="15" hidden="false" customHeight="false" outlineLevel="0" collapsed="false">
      <c r="A6" s="10" t="s">
        <v>94</v>
      </c>
      <c r="B6" s="11" t="s">
        <v>95</v>
      </c>
      <c r="C6" s="12" t="n">
        <v>1000</v>
      </c>
      <c r="D6" s="12"/>
    </row>
    <row r="7" customFormat="false" ht="15" hidden="false" customHeight="false" outlineLevel="0" collapsed="false">
      <c r="A7" s="13" t="s">
        <v>96</v>
      </c>
      <c r="B7" s="14" t="s">
        <v>97</v>
      </c>
      <c r="C7" s="15"/>
      <c r="D7" s="15" t="n">
        <v>140</v>
      </c>
    </row>
    <row r="8" customFormat="false" ht="15" hidden="false" customHeight="false" outlineLevel="0" collapsed="false">
      <c r="A8" s="10" t="s">
        <v>98</v>
      </c>
      <c r="B8" s="11" t="s">
        <v>99</v>
      </c>
      <c r="C8" s="12"/>
      <c r="D8" s="12" t="n">
        <v>60</v>
      </c>
    </row>
    <row r="9" customFormat="false" ht="15" hidden="false" customHeight="false" outlineLevel="0" collapsed="false">
      <c r="A9" s="13" t="s">
        <v>100</v>
      </c>
      <c r="B9" s="14" t="s">
        <v>101</v>
      </c>
      <c r="C9" s="15"/>
      <c r="D9" s="15" t="n">
        <v>800</v>
      </c>
    </row>
    <row r="10" customFormat="false" ht="15" hidden="false" customHeight="false" outlineLevel="0" collapsed="false">
      <c r="A10" s="16" t="str">
        <f aca="false">IF(ROUND(C10-D10,2)=0,"✓","✗")</f>
        <v>✓</v>
      </c>
      <c r="B10" s="17" t="s">
        <v>35</v>
      </c>
      <c r="C10" s="18" t="n">
        <f aca="false">SUM(C6:C9)</f>
        <v>1000</v>
      </c>
      <c r="D10" s="18" t="n">
        <f aca="false">SUM(D6:D9)</f>
        <v>1000</v>
      </c>
    </row>
    <row r="11" customFormat="false" ht="42" hidden="false" customHeight="true" outlineLevel="0" collapsed="false">
      <c r="A11" s="19" t="s">
        <v>102</v>
      </c>
      <c r="B11" s="19"/>
      <c r="C11" s="19"/>
      <c r="D11" s="19"/>
    </row>
    <row r="13" customFormat="false" ht="19.5" hidden="false" customHeight="true" outlineLevel="0" collapsed="false">
      <c r="A13" s="9" t="s">
        <v>103</v>
      </c>
      <c r="B13" s="9"/>
      <c r="C13" s="9"/>
      <c r="D13" s="9"/>
    </row>
    <row r="14" customFormat="false" ht="15" hidden="false" customHeight="false" outlineLevel="0" collapsed="false">
      <c r="A14" s="4" t="s">
        <v>25</v>
      </c>
      <c r="B14" s="3" t="s">
        <v>26</v>
      </c>
      <c r="C14" s="4" t="s">
        <v>27</v>
      </c>
      <c r="D14" s="4" t="s">
        <v>28</v>
      </c>
    </row>
    <row r="15" customFormat="false" ht="15" hidden="false" customHeight="false" outlineLevel="0" collapsed="false">
      <c r="A15" s="10" t="s">
        <v>104</v>
      </c>
      <c r="B15" s="11" t="s">
        <v>105</v>
      </c>
      <c r="C15" s="12" t="n">
        <v>240</v>
      </c>
      <c r="D15" s="12"/>
    </row>
    <row r="16" customFormat="false" ht="15" hidden="false" customHeight="false" outlineLevel="0" collapsed="false">
      <c r="A16" s="13" t="s">
        <v>96</v>
      </c>
      <c r="B16" s="14" t="s">
        <v>106</v>
      </c>
      <c r="C16" s="15"/>
      <c r="D16" s="15" t="n">
        <v>240</v>
      </c>
    </row>
    <row r="17" customFormat="false" ht="15" hidden="false" customHeight="false" outlineLevel="0" collapsed="false">
      <c r="A17" s="16" t="str">
        <f aca="false">IF(ROUND(C17-D17,2)=0,"✓","✗")</f>
        <v>✓</v>
      </c>
      <c r="B17" s="17" t="s">
        <v>35</v>
      </c>
      <c r="C17" s="18" t="n">
        <f aca="false">SUM(C15:C16)</f>
        <v>240</v>
      </c>
      <c r="D17" s="18" t="n">
        <f aca="false">SUM(D15:D16)</f>
        <v>240</v>
      </c>
    </row>
    <row r="18" customFormat="false" ht="42" hidden="false" customHeight="true" outlineLevel="0" collapsed="false">
      <c r="A18" s="19" t="s">
        <v>107</v>
      </c>
      <c r="B18" s="19"/>
      <c r="C18" s="19"/>
      <c r="D18" s="19"/>
    </row>
    <row r="20" customFormat="false" ht="19.5" hidden="false" customHeight="true" outlineLevel="0" collapsed="false">
      <c r="A20" s="9" t="s">
        <v>108</v>
      </c>
      <c r="B20" s="9"/>
      <c r="C20" s="9"/>
      <c r="D20" s="9"/>
    </row>
    <row r="21" customFormat="false" ht="15" hidden="false" customHeight="false" outlineLevel="0" collapsed="false">
      <c r="A21" s="4" t="s">
        <v>25</v>
      </c>
      <c r="B21" s="3" t="s">
        <v>26</v>
      </c>
      <c r="C21" s="4" t="s">
        <v>27</v>
      </c>
      <c r="D21" s="4" t="s">
        <v>28</v>
      </c>
    </row>
    <row r="22" customFormat="false" ht="15" hidden="false" customHeight="false" outlineLevel="0" collapsed="false">
      <c r="A22" s="10" t="s">
        <v>100</v>
      </c>
      <c r="B22" s="11" t="s">
        <v>109</v>
      </c>
      <c r="C22" s="12" t="n">
        <v>800</v>
      </c>
      <c r="D22" s="12"/>
    </row>
    <row r="23" customFormat="false" ht="15" hidden="false" customHeight="false" outlineLevel="0" collapsed="false">
      <c r="A23" s="13" t="s">
        <v>43</v>
      </c>
      <c r="B23" s="14" t="s">
        <v>44</v>
      </c>
      <c r="C23" s="15"/>
      <c r="D23" s="15" t="n">
        <v>800</v>
      </c>
    </row>
    <row r="24" customFormat="false" ht="15" hidden="false" customHeight="false" outlineLevel="0" collapsed="false">
      <c r="A24" s="16" t="str">
        <f aca="false">IF(ROUND(C24-D24,2)=0,"✓","✗")</f>
        <v>✓</v>
      </c>
      <c r="B24" s="17" t="s">
        <v>35</v>
      </c>
      <c r="C24" s="18" t="n">
        <f aca="false">SUM(C22:C23)</f>
        <v>800</v>
      </c>
      <c r="D24" s="18" t="n">
        <f aca="false">SUM(D22:D23)</f>
        <v>800</v>
      </c>
    </row>
    <row r="25" customFormat="false" ht="30" hidden="false" customHeight="true" outlineLevel="0" collapsed="false">
      <c r="A25" s="19" t="s">
        <v>110</v>
      </c>
      <c r="B25" s="19"/>
      <c r="C25" s="19"/>
      <c r="D25" s="19"/>
    </row>
    <row r="27" customFormat="false" ht="19.5" hidden="false" customHeight="true" outlineLevel="0" collapsed="false">
      <c r="A27" s="9" t="s">
        <v>111</v>
      </c>
      <c r="B27" s="9"/>
      <c r="C27" s="9"/>
      <c r="D27" s="9"/>
    </row>
    <row r="28" customFormat="false" ht="15" hidden="false" customHeight="false" outlineLevel="0" collapsed="false">
      <c r="A28" s="4" t="s">
        <v>25</v>
      </c>
      <c r="B28" s="3" t="s">
        <v>26</v>
      </c>
      <c r="C28" s="4" t="s">
        <v>27</v>
      </c>
      <c r="D28" s="4" t="s">
        <v>28</v>
      </c>
    </row>
    <row r="29" customFormat="false" ht="15" hidden="false" customHeight="false" outlineLevel="0" collapsed="false">
      <c r="A29" s="10" t="s">
        <v>96</v>
      </c>
      <c r="B29" s="11" t="s">
        <v>112</v>
      </c>
      <c r="C29" s="12" t="n">
        <v>380</v>
      </c>
      <c r="D29" s="12"/>
    </row>
    <row r="30" customFormat="false" ht="15" hidden="false" customHeight="false" outlineLevel="0" collapsed="false">
      <c r="A30" s="13" t="s">
        <v>43</v>
      </c>
      <c r="B30" s="14" t="s">
        <v>44</v>
      </c>
      <c r="C30" s="15"/>
      <c r="D30" s="15" t="n">
        <v>380</v>
      </c>
    </row>
    <row r="31" customFormat="false" ht="15" hidden="false" customHeight="false" outlineLevel="0" collapsed="false">
      <c r="A31" s="16" t="str">
        <f aca="false">IF(ROUND(C31-D31,2)=0,"✓","✗")</f>
        <v>✓</v>
      </c>
      <c r="B31" s="17" t="s">
        <v>35</v>
      </c>
      <c r="C31" s="18" t="n">
        <f aca="false">SUM(C29:C30)</f>
        <v>380</v>
      </c>
      <c r="D31" s="18" t="n">
        <f aca="false">SUM(D29:D30)</f>
        <v>380</v>
      </c>
    </row>
    <row r="32" customFormat="false" ht="30" hidden="false" customHeight="true" outlineLevel="0" collapsed="false">
      <c r="A32" s="19" t="s">
        <v>113</v>
      </c>
      <c r="B32" s="19"/>
      <c r="C32" s="19"/>
      <c r="D32" s="19"/>
    </row>
    <row r="34" customFormat="false" ht="19.5" hidden="false" customHeight="true" outlineLevel="0" collapsed="false">
      <c r="A34" s="9" t="s">
        <v>114</v>
      </c>
      <c r="B34" s="9"/>
      <c r="C34" s="9"/>
      <c r="D34" s="9"/>
    </row>
    <row r="35" customFormat="false" ht="15" hidden="false" customHeight="false" outlineLevel="0" collapsed="false">
      <c r="A35" s="4" t="s">
        <v>25</v>
      </c>
      <c r="B35" s="3" t="s">
        <v>26</v>
      </c>
      <c r="C35" s="4" t="s">
        <v>27</v>
      </c>
      <c r="D35" s="4" t="s">
        <v>28</v>
      </c>
    </row>
    <row r="36" customFormat="false" ht="15" hidden="false" customHeight="false" outlineLevel="0" collapsed="false">
      <c r="A36" s="10" t="s">
        <v>98</v>
      </c>
      <c r="B36" s="11" t="s">
        <v>115</v>
      </c>
      <c r="C36" s="12" t="n">
        <v>60</v>
      </c>
      <c r="D36" s="12"/>
    </row>
    <row r="37" customFormat="false" ht="15" hidden="false" customHeight="false" outlineLevel="0" collapsed="false">
      <c r="A37" s="13" t="s">
        <v>43</v>
      </c>
      <c r="B37" s="14" t="s">
        <v>44</v>
      </c>
      <c r="C37" s="15"/>
      <c r="D37" s="15" t="n">
        <v>60</v>
      </c>
    </row>
    <row r="38" customFormat="false" ht="15" hidden="false" customHeight="false" outlineLevel="0" collapsed="false">
      <c r="A38" s="16" t="str">
        <f aca="false">IF(ROUND(C38-D38,2)=0,"✓","✗")</f>
        <v>✓</v>
      </c>
      <c r="B38" s="17" t="s">
        <v>35</v>
      </c>
      <c r="C38" s="18" t="n">
        <f aca="false">SUM(C36:C37)</f>
        <v>60</v>
      </c>
      <c r="D38" s="18" t="n">
        <f aca="false">SUM(D36:D37)</f>
        <v>60</v>
      </c>
    </row>
    <row r="39" customFormat="false" ht="30" hidden="false" customHeight="true" outlineLevel="0" collapsed="false">
      <c r="A39" s="19" t="s">
        <v>116</v>
      </c>
      <c r="B39" s="19"/>
      <c r="C39" s="19"/>
      <c r="D39" s="19"/>
    </row>
  </sheetData>
  <mergeCells count="12">
    <mergeCell ref="A1:D1"/>
    <mergeCell ref="A2:D2"/>
    <mergeCell ref="A4:D4"/>
    <mergeCell ref="A11:D11"/>
    <mergeCell ref="A13:D13"/>
    <mergeCell ref="A18:D18"/>
    <mergeCell ref="A20:D20"/>
    <mergeCell ref="A25:D25"/>
    <mergeCell ref="A27:D27"/>
    <mergeCell ref="A32:D32"/>
    <mergeCell ref="A34:D34"/>
    <mergeCell ref="A39:D39"/>
  </mergeCells>
  <conditionalFormatting sqref="A10">
    <cfRule type="expression" priority="2" aboveAverage="0" equalAverage="0" bottom="0" percent="0" rank="0" text="" dxfId="0">
      <formula>A10="✓"</formula>
    </cfRule>
    <cfRule type="expression" priority="3" aboveAverage="0" equalAverage="0" bottom="0" percent="0" rank="0" text="" dxfId="1">
      <formula>A10="✗"</formula>
    </cfRule>
  </conditionalFormatting>
  <conditionalFormatting sqref="A17">
    <cfRule type="expression" priority="4" aboveAverage="0" equalAverage="0" bottom="0" percent="0" rank="0" text="" dxfId="0">
      <formula>A17="✓"</formula>
    </cfRule>
    <cfRule type="expression" priority="5" aboveAverage="0" equalAverage="0" bottom="0" percent="0" rank="0" text="" dxfId="1">
      <formula>A17="✗"</formula>
    </cfRule>
  </conditionalFormatting>
  <conditionalFormatting sqref="A24">
    <cfRule type="expression" priority="6" aboveAverage="0" equalAverage="0" bottom="0" percent="0" rank="0" text="" dxfId="0">
      <formula>A24="✓"</formula>
    </cfRule>
    <cfRule type="expression" priority="7" aboveAverage="0" equalAverage="0" bottom="0" percent="0" rank="0" text="" dxfId="1">
      <formula>A24="✗"</formula>
    </cfRule>
  </conditionalFormatting>
  <conditionalFormatting sqref="A31">
    <cfRule type="expression" priority="8" aboveAverage="0" equalAverage="0" bottom="0" percent="0" rank="0" text="" dxfId="0">
      <formula>A31="✓"</formula>
    </cfRule>
    <cfRule type="expression" priority="9" aboveAverage="0" equalAverage="0" bottom="0" percent="0" rank="0" text="" dxfId="1">
      <formula>A31="✗"</formula>
    </cfRule>
  </conditionalFormatting>
  <conditionalFormatting sqref="A38">
    <cfRule type="expression" priority="10" aboveAverage="0" equalAverage="0" bottom="0" percent="0" rank="0" text="" dxfId="0">
      <formula>A38="✓"</formula>
    </cfRule>
    <cfRule type="expression" priority="11" aboveAverage="0" equalAverage="0" bottom="0" percent="0" rank="0" text="" dxfId="1">
      <formula>A38="✗"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2"/>
    <col collapsed="false" customWidth="true" hidden="false" outlineLevel="0" max="4" min="3" style="0" width="15"/>
  </cols>
  <sheetData>
    <row r="1" customFormat="false" ht="27.75" hidden="false" customHeight="true" outlineLevel="0" collapsed="false">
      <c r="A1" s="1" t="s">
        <v>117</v>
      </c>
      <c r="B1" s="1"/>
      <c r="C1" s="1"/>
      <c r="D1" s="1"/>
    </row>
    <row r="2" customFormat="false" ht="21.75" hidden="false" customHeight="true" outlineLevel="0" collapsed="false">
      <c r="A2" s="2" t="s">
        <v>118</v>
      </c>
      <c r="B2" s="2"/>
      <c r="C2" s="2"/>
      <c r="D2" s="2"/>
    </row>
    <row r="4" customFormat="false" ht="19.5" hidden="false" customHeight="true" outlineLevel="0" collapsed="false">
      <c r="A4" s="9" t="s">
        <v>119</v>
      </c>
      <c r="B4" s="9"/>
      <c r="C4" s="9"/>
      <c r="D4" s="9"/>
    </row>
    <row r="5" customFormat="false" ht="15" hidden="false" customHeight="false" outlineLevel="0" collapsed="false">
      <c r="A5" s="4" t="s">
        <v>25</v>
      </c>
      <c r="B5" s="3" t="s">
        <v>26</v>
      </c>
      <c r="C5" s="4" t="s">
        <v>27</v>
      </c>
      <c r="D5" s="4" t="s">
        <v>28</v>
      </c>
    </row>
    <row r="6" customFormat="false" ht="15" hidden="false" customHeight="false" outlineLevel="0" collapsed="false">
      <c r="A6" s="10" t="s">
        <v>43</v>
      </c>
      <c r="B6" s="11" t="s">
        <v>75</v>
      </c>
      <c r="C6" s="12" t="n">
        <v>3000</v>
      </c>
      <c r="D6" s="12"/>
    </row>
    <row r="7" customFormat="false" ht="15" hidden="false" customHeight="false" outlineLevel="0" collapsed="false">
      <c r="A7" s="13" t="s">
        <v>38</v>
      </c>
      <c r="B7" s="14" t="s">
        <v>39</v>
      </c>
      <c r="C7" s="15"/>
      <c r="D7" s="15" t="n">
        <v>3000</v>
      </c>
    </row>
    <row r="8" customFormat="false" ht="15" hidden="false" customHeight="false" outlineLevel="0" collapsed="false">
      <c r="A8" s="16" t="str">
        <f aca="false">IF(ROUND(C8-D8,2)=0,"✓","✗")</f>
        <v>✓</v>
      </c>
      <c r="B8" s="17" t="s">
        <v>35</v>
      </c>
      <c r="C8" s="18" t="n">
        <f aca="false">SUM(C6:C7)</f>
        <v>3000</v>
      </c>
      <c r="D8" s="18" t="n">
        <f aca="false">SUM(D6:D7)</f>
        <v>3000</v>
      </c>
    </row>
    <row r="9" customFormat="false" ht="42" hidden="false" customHeight="true" outlineLevel="0" collapsed="false">
      <c r="A9" s="19" t="s">
        <v>120</v>
      </c>
      <c r="B9" s="19"/>
      <c r="C9" s="19"/>
      <c r="D9" s="19"/>
    </row>
    <row r="11" customFormat="false" ht="19.5" hidden="false" customHeight="true" outlineLevel="0" collapsed="false">
      <c r="A11" s="9" t="s">
        <v>121</v>
      </c>
      <c r="B11" s="9"/>
      <c r="C11" s="9"/>
      <c r="D11" s="9"/>
    </row>
    <row r="12" customFormat="false" ht="15" hidden="false" customHeight="false" outlineLevel="0" collapsed="false">
      <c r="A12" s="4" t="s">
        <v>25</v>
      </c>
      <c r="B12" s="3" t="s">
        <v>26</v>
      </c>
      <c r="C12" s="4" t="s">
        <v>27</v>
      </c>
      <c r="D12" s="4" t="s">
        <v>28</v>
      </c>
    </row>
    <row r="13" customFormat="false" ht="15" hidden="false" customHeight="false" outlineLevel="0" collapsed="false">
      <c r="A13" s="10" t="s">
        <v>38</v>
      </c>
      <c r="B13" s="11" t="s">
        <v>71</v>
      </c>
      <c r="C13" s="12" t="n">
        <v>500</v>
      </c>
      <c r="D13" s="12"/>
    </row>
    <row r="14" customFormat="false" ht="15" hidden="false" customHeight="false" outlineLevel="0" collapsed="false">
      <c r="A14" s="13" t="s">
        <v>43</v>
      </c>
      <c r="B14" s="14" t="s">
        <v>44</v>
      </c>
      <c r="C14" s="15"/>
      <c r="D14" s="15" t="n">
        <v>500</v>
      </c>
    </row>
    <row r="15" customFormat="false" ht="15" hidden="false" customHeight="false" outlineLevel="0" collapsed="false">
      <c r="A15" s="16" t="str">
        <f aca="false">IF(ROUND(C15-D15,2)=0,"✓","✗")</f>
        <v>✓</v>
      </c>
      <c r="B15" s="17" t="s">
        <v>35</v>
      </c>
      <c r="C15" s="18" t="n">
        <f aca="false">SUM(C13:C14)</f>
        <v>500</v>
      </c>
      <c r="D15" s="18" t="n">
        <f aca="false">SUM(D13:D14)</f>
        <v>500</v>
      </c>
    </row>
    <row r="16" customFormat="false" ht="30" hidden="false" customHeight="true" outlineLevel="0" collapsed="false">
      <c r="A16" s="19" t="s">
        <v>122</v>
      </c>
      <c r="B16" s="19"/>
      <c r="C16" s="19"/>
      <c r="D16" s="19"/>
    </row>
    <row r="18" customFormat="false" ht="19.5" hidden="false" customHeight="true" outlineLevel="0" collapsed="false">
      <c r="A18" s="9" t="s">
        <v>123</v>
      </c>
      <c r="B18" s="9"/>
      <c r="C18" s="9"/>
      <c r="D18" s="9"/>
    </row>
    <row r="19" customFormat="false" ht="15" hidden="false" customHeight="false" outlineLevel="0" collapsed="false">
      <c r="A19" s="4" t="s">
        <v>25</v>
      </c>
      <c r="B19" s="3" t="s">
        <v>26</v>
      </c>
      <c r="C19" s="4" t="s">
        <v>27</v>
      </c>
      <c r="D19" s="4" t="s">
        <v>28</v>
      </c>
    </row>
    <row r="20" customFormat="false" ht="15" hidden="false" customHeight="false" outlineLevel="0" collapsed="false">
      <c r="A20" s="10" t="s">
        <v>43</v>
      </c>
      <c r="B20" s="11" t="s">
        <v>75</v>
      </c>
      <c r="C20" s="12" t="n">
        <v>2480</v>
      </c>
      <c r="D20" s="12"/>
    </row>
    <row r="21" customFormat="false" ht="15" hidden="false" customHeight="false" outlineLevel="0" collapsed="false">
      <c r="A21" s="13" t="s">
        <v>64</v>
      </c>
      <c r="B21" s="14" t="s">
        <v>83</v>
      </c>
      <c r="C21" s="15"/>
      <c r="D21" s="15" t="n">
        <v>2480</v>
      </c>
    </row>
    <row r="22" customFormat="false" ht="15" hidden="false" customHeight="false" outlineLevel="0" collapsed="false">
      <c r="A22" s="16" t="str">
        <f aca="false">IF(ROUND(C22-D22,2)=0,"✓","✗")</f>
        <v>✓</v>
      </c>
      <c r="B22" s="17" t="s">
        <v>35</v>
      </c>
      <c r="C22" s="18" t="n">
        <f aca="false">SUM(C20:C21)</f>
        <v>2480</v>
      </c>
      <c r="D22" s="18" t="n">
        <f aca="false">SUM(D20:D21)</f>
        <v>2480</v>
      </c>
    </row>
    <row r="23" customFormat="false" ht="30" hidden="false" customHeight="true" outlineLevel="0" collapsed="false">
      <c r="A23" s="19" t="s">
        <v>124</v>
      </c>
      <c r="B23" s="19"/>
      <c r="C23" s="19"/>
      <c r="D23" s="19"/>
    </row>
    <row r="25" customFormat="false" ht="19.5" hidden="false" customHeight="true" outlineLevel="0" collapsed="false">
      <c r="A25" s="9" t="s">
        <v>125</v>
      </c>
      <c r="B25" s="9"/>
      <c r="C25" s="9"/>
      <c r="D25" s="9"/>
    </row>
    <row r="26" customFormat="false" ht="15" hidden="false" customHeight="false" outlineLevel="0" collapsed="false">
      <c r="A26" s="4" t="s">
        <v>25</v>
      </c>
      <c r="B26" s="3" t="s">
        <v>26</v>
      </c>
      <c r="C26" s="4" t="s">
        <v>27</v>
      </c>
      <c r="D26" s="4" t="s">
        <v>28</v>
      </c>
    </row>
    <row r="27" customFormat="false" ht="15" hidden="false" customHeight="false" outlineLevel="0" collapsed="false">
      <c r="A27" s="10" t="s">
        <v>33</v>
      </c>
      <c r="B27" s="11" t="s">
        <v>47</v>
      </c>
      <c r="C27" s="12" t="n">
        <v>1240</v>
      </c>
      <c r="D27" s="12"/>
    </row>
    <row r="28" customFormat="false" ht="15" hidden="false" customHeight="false" outlineLevel="0" collapsed="false">
      <c r="A28" s="13" t="s">
        <v>43</v>
      </c>
      <c r="B28" s="14" t="s">
        <v>44</v>
      </c>
      <c r="C28" s="15"/>
      <c r="D28" s="15" t="n">
        <v>1240</v>
      </c>
    </row>
    <row r="29" customFormat="false" ht="15" hidden="false" customHeight="false" outlineLevel="0" collapsed="false">
      <c r="A29" s="16" t="str">
        <f aca="false">IF(ROUND(C29-D29,2)=0,"✓","✗")</f>
        <v>✓</v>
      </c>
      <c r="B29" s="17" t="s">
        <v>35</v>
      </c>
      <c r="C29" s="18" t="n">
        <f aca="false">SUM(C27:C28)</f>
        <v>1240</v>
      </c>
      <c r="D29" s="18" t="n">
        <f aca="false">SUM(D27:D28)</f>
        <v>1240</v>
      </c>
    </row>
    <row r="30" customFormat="false" ht="30" hidden="false" customHeight="true" outlineLevel="0" collapsed="false">
      <c r="A30" s="19" t="s">
        <v>126</v>
      </c>
      <c r="B30" s="19"/>
      <c r="C30" s="19"/>
      <c r="D30" s="19"/>
    </row>
    <row r="32" customFormat="false" ht="19.5" hidden="false" customHeight="true" outlineLevel="0" collapsed="false">
      <c r="A32" s="9" t="s">
        <v>127</v>
      </c>
      <c r="B32" s="9"/>
      <c r="C32" s="9"/>
      <c r="D32" s="9"/>
    </row>
    <row r="33" customFormat="false" ht="15" hidden="false" customHeight="false" outlineLevel="0" collapsed="false">
      <c r="A33" s="4" t="s">
        <v>25</v>
      </c>
      <c r="B33" s="3" t="s">
        <v>26</v>
      </c>
      <c r="C33" s="4" t="s">
        <v>27</v>
      </c>
      <c r="D33" s="4" t="s">
        <v>28</v>
      </c>
    </row>
    <row r="34" customFormat="false" ht="15" hidden="false" customHeight="false" outlineLevel="0" collapsed="false">
      <c r="A34" s="10" t="s">
        <v>76</v>
      </c>
      <c r="B34" s="11" t="s">
        <v>128</v>
      </c>
      <c r="C34" s="12" t="n">
        <v>15</v>
      </c>
      <c r="D34" s="12"/>
    </row>
    <row r="35" customFormat="false" ht="15" hidden="false" customHeight="false" outlineLevel="0" collapsed="false">
      <c r="A35" s="13" t="s">
        <v>43</v>
      </c>
      <c r="B35" s="14" t="s">
        <v>44</v>
      </c>
      <c r="C35" s="15"/>
      <c r="D35" s="15" t="n">
        <v>15</v>
      </c>
    </row>
    <row r="36" customFormat="false" ht="15" hidden="false" customHeight="false" outlineLevel="0" collapsed="false">
      <c r="A36" s="16" t="str">
        <f aca="false">IF(ROUND(C36-D36,2)=0,"✓","✗")</f>
        <v>✓</v>
      </c>
      <c r="B36" s="17" t="s">
        <v>35</v>
      </c>
      <c r="C36" s="18" t="n">
        <f aca="false">SUM(C34:C35)</f>
        <v>15</v>
      </c>
      <c r="D36" s="18" t="n">
        <f aca="false">SUM(D34:D35)</f>
        <v>15</v>
      </c>
    </row>
    <row r="37" customFormat="false" ht="30" hidden="false" customHeight="true" outlineLevel="0" collapsed="false">
      <c r="A37" s="19" t="s">
        <v>129</v>
      </c>
      <c r="B37" s="19"/>
      <c r="C37" s="19"/>
      <c r="D37" s="19"/>
    </row>
    <row r="39" customFormat="false" ht="19.5" hidden="false" customHeight="true" outlineLevel="0" collapsed="false">
      <c r="A39" s="9" t="s">
        <v>130</v>
      </c>
      <c r="B39" s="9"/>
      <c r="C39" s="9"/>
      <c r="D39" s="9"/>
    </row>
    <row r="40" customFormat="false" ht="15" hidden="false" customHeight="false" outlineLevel="0" collapsed="false">
      <c r="A40" s="4" t="s">
        <v>25</v>
      </c>
      <c r="B40" s="3" t="s">
        <v>26</v>
      </c>
      <c r="C40" s="4" t="s">
        <v>27</v>
      </c>
      <c r="D40" s="4" t="s">
        <v>28</v>
      </c>
    </row>
    <row r="41" customFormat="false" ht="15" hidden="false" customHeight="false" outlineLevel="0" collapsed="false">
      <c r="A41" s="10" t="s">
        <v>43</v>
      </c>
      <c r="B41" s="11" t="s">
        <v>75</v>
      </c>
      <c r="C41" s="12" t="n">
        <v>40</v>
      </c>
      <c r="D41" s="12"/>
    </row>
    <row r="42" customFormat="false" ht="15" hidden="false" customHeight="false" outlineLevel="0" collapsed="false">
      <c r="A42" s="13" t="s">
        <v>131</v>
      </c>
      <c r="B42" s="14" t="s">
        <v>132</v>
      </c>
      <c r="C42" s="15"/>
      <c r="D42" s="15" t="n">
        <v>40</v>
      </c>
    </row>
    <row r="43" customFormat="false" ht="15" hidden="false" customHeight="false" outlineLevel="0" collapsed="false">
      <c r="A43" s="16" t="str">
        <f aca="false">IF(ROUND(C43-D43,2)=0,"✓","✗")</f>
        <v>✓</v>
      </c>
      <c r="B43" s="17" t="s">
        <v>35</v>
      </c>
      <c r="C43" s="18" t="n">
        <f aca="false">SUM(C41:C42)</f>
        <v>40</v>
      </c>
      <c r="D43" s="18" t="n">
        <f aca="false">SUM(D41:D42)</f>
        <v>40</v>
      </c>
    </row>
    <row r="44" customFormat="false" ht="30" hidden="false" customHeight="true" outlineLevel="0" collapsed="false">
      <c r="A44" s="19" t="s">
        <v>133</v>
      </c>
      <c r="B44" s="19"/>
      <c r="C44" s="19"/>
      <c r="D44" s="19"/>
    </row>
  </sheetData>
  <mergeCells count="14">
    <mergeCell ref="A1:D1"/>
    <mergeCell ref="A2:D2"/>
    <mergeCell ref="A4:D4"/>
    <mergeCell ref="A9:D9"/>
    <mergeCell ref="A11:D11"/>
    <mergeCell ref="A16:D16"/>
    <mergeCell ref="A18:D18"/>
    <mergeCell ref="A23:D23"/>
    <mergeCell ref="A25:D25"/>
    <mergeCell ref="A30:D30"/>
    <mergeCell ref="A32:D32"/>
    <mergeCell ref="A37:D37"/>
    <mergeCell ref="A39:D39"/>
    <mergeCell ref="A44:D44"/>
  </mergeCells>
  <conditionalFormatting sqref="A8">
    <cfRule type="expression" priority="2" aboveAverage="0" equalAverage="0" bottom="0" percent="0" rank="0" text="" dxfId="0">
      <formula>A8="✓"</formula>
    </cfRule>
    <cfRule type="expression" priority="3" aboveAverage="0" equalAverage="0" bottom="0" percent="0" rank="0" text="" dxfId="1">
      <formula>A8="✗"</formula>
    </cfRule>
  </conditionalFormatting>
  <conditionalFormatting sqref="A15">
    <cfRule type="expression" priority="4" aboveAverage="0" equalAverage="0" bottom="0" percent="0" rank="0" text="" dxfId="0">
      <formula>A15="✓"</formula>
    </cfRule>
    <cfRule type="expression" priority="5" aboveAverage="0" equalAverage="0" bottom="0" percent="0" rank="0" text="" dxfId="1">
      <formula>A15="✗"</formula>
    </cfRule>
  </conditionalFormatting>
  <conditionalFormatting sqref="A22">
    <cfRule type="expression" priority="6" aboveAverage="0" equalAverage="0" bottom="0" percent="0" rank="0" text="" dxfId="0">
      <formula>A22="✓"</formula>
    </cfRule>
    <cfRule type="expression" priority="7" aboveAverage="0" equalAverage="0" bottom="0" percent="0" rank="0" text="" dxfId="1">
      <formula>A22="✗"</formula>
    </cfRule>
  </conditionalFormatting>
  <conditionalFormatting sqref="A29">
    <cfRule type="expression" priority="8" aboveAverage="0" equalAverage="0" bottom="0" percent="0" rank="0" text="" dxfId="0">
      <formula>A29="✓"</formula>
    </cfRule>
    <cfRule type="expression" priority="9" aboveAverage="0" equalAverage="0" bottom="0" percent="0" rank="0" text="" dxfId="1">
      <formula>A29="✗"</formula>
    </cfRule>
  </conditionalFormatting>
  <conditionalFormatting sqref="A36">
    <cfRule type="expression" priority="10" aboveAverage="0" equalAverage="0" bottom="0" percent="0" rank="0" text="" dxfId="0">
      <formula>A36="✓"</formula>
    </cfRule>
    <cfRule type="expression" priority="11" aboveAverage="0" equalAverage="0" bottom="0" percent="0" rank="0" text="" dxfId="1">
      <formula>A36="✗"</formula>
    </cfRule>
  </conditionalFormatting>
  <conditionalFormatting sqref="A43">
    <cfRule type="expression" priority="12" aboveAverage="0" equalAverage="0" bottom="0" percent="0" rank="0" text="" dxfId="0">
      <formula>A43="✓"</formula>
    </cfRule>
    <cfRule type="expression" priority="13" aboveAverage="0" equalAverage="0" bottom="0" percent="0" rank="0" text="" dxfId="1">
      <formula>A43="✗"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2"/>
    <col collapsed="false" customWidth="true" hidden="false" outlineLevel="0" max="4" min="3" style="0" width="15"/>
  </cols>
  <sheetData>
    <row r="1" customFormat="false" ht="27.75" hidden="false" customHeight="true" outlineLevel="0" collapsed="false">
      <c r="A1" s="1" t="s">
        <v>134</v>
      </c>
      <c r="B1" s="1"/>
      <c r="C1" s="1"/>
      <c r="D1" s="1"/>
    </row>
    <row r="2" customFormat="false" ht="21.75" hidden="false" customHeight="true" outlineLevel="0" collapsed="false">
      <c r="A2" s="2" t="s">
        <v>135</v>
      </c>
      <c r="B2" s="2"/>
      <c r="C2" s="2"/>
      <c r="D2" s="2"/>
    </row>
    <row r="4" customFormat="false" ht="19.5" hidden="false" customHeight="true" outlineLevel="0" collapsed="false">
      <c r="A4" s="9" t="s">
        <v>136</v>
      </c>
      <c r="B4" s="9"/>
      <c r="C4" s="9"/>
      <c r="D4" s="9"/>
    </row>
    <row r="5" customFormat="false" ht="15" hidden="false" customHeight="false" outlineLevel="0" collapsed="false">
      <c r="A5" s="4" t="s">
        <v>25</v>
      </c>
      <c r="B5" s="3" t="s">
        <v>26</v>
      </c>
      <c r="C5" s="4" t="s">
        <v>27</v>
      </c>
      <c r="D5" s="4" t="s">
        <v>28</v>
      </c>
    </row>
    <row r="6" customFormat="false" ht="15" hidden="false" customHeight="false" outlineLevel="0" collapsed="false">
      <c r="A6" s="10" t="s">
        <v>137</v>
      </c>
      <c r="B6" s="11" t="s">
        <v>138</v>
      </c>
      <c r="C6" s="12" t="n">
        <v>500</v>
      </c>
      <c r="D6" s="12"/>
    </row>
    <row r="7" customFormat="false" ht="15" hidden="false" customHeight="false" outlineLevel="0" collapsed="false">
      <c r="A7" s="13" t="s">
        <v>43</v>
      </c>
      <c r="B7" s="14" t="s">
        <v>44</v>
      </c>
      <c r="C7" s="15"/>
      <c r="D7" s="15" t="n">
        <v>500</v>
      </c>
    </row>
    <row r="8" customFormat="false" ht="15" hidden="false" customHeight="false" outlineLevel="0" collapsed="false">
      <c r="A8" s="16" t="str">
        <f aca="false">IF(ROUND(C8-D8,2)=0,"✓","✗")</f>
        <v>✓</v>
      </c>
      <c r="B8" s="17" t="s">
        <v>35</v>
      </c>
      <c r="C8" s="18" t="n">
        <f aca="false">SUM(C6:C7)</f>
        <v>500</v>
      </c>
      <c r="D8" s="18" t="n">
        <f aca="false">SUM(D6:D7)</f>
        <v>500</v>
      </c>
    </row>
    <row r="9" customFormat="false" ht="30" hidden="false" customHeight="true" outlineLevel="0" collapsed="false">
      <c r="A9" s="19" t="s">
        <v>139</v>
      </c>
      <c r="B9" s="19"/>
      <c r="C9" s="19"/>
      <c r="D9" s="19"/>
    </row>
    <row r="11" customFormat="false" ht="19.5" hidden="false" customHeight="true" outlineLevel="0" collapsed="false">
      <c r="A11" s="9" t="s">
        <v>140</v>
      </c>
      <c r="B11" s="9"/>
      <c r="C11" s="9"/>
      <c r="D11" s="9"/>
    </row>
    <row r="12" customFormat="false" ht="15" hidden="false" customHeight="false" outlineLevel="0" collapsed="false">
      <c r="A12" s="4" t="s">
        <v>25</v>
      </c>
      <c r="B12" s="3" t="s">
        <v>26</v>
      </c>
      <c r="C12" s="4" t="s">
        <v>27</v>
      </c>
      <c r="D12" s="4" t="s">
        <v>28</v>
      </c>
    </row>
    <row r="13" customFormat="false" ht="15" hidden="false" customHeight="false" outlineLevel="0" collapsed="false">
      <c r="A13" s="10" t="s">
        <v>141</v>
      </c>
      <c r="B13" s="11" t="s">
        <v>142</v>
      </c>
      <c r="C13" s="12" t="n">
        <v>200</v>
      </c>
      <c r="D13" s="12"/>
    </row>
    <row r="14" customFormat="false" ht="15" hidden="false" customHeight="false" outlineLevel="0" collapsed="false">
      <c r="A14" s="13" t="s">
        <v>31</v>
      </c>
      <c r="B14" s="14" t="s">
        <v>32</v>
      </c>
      <c r="C14" s="15" t="n">
        <v>48</v>
      </c>
      <c r="D14" s="15"/>
    </row>
    <row r="15" customFormat="false" ht="15" hidden="false" customHeight="false" outlineLevel="0" collapsed="false">
      <c r="A15" s="10" t="s">
        <v>33</v>
      </c>
      <c r="B15" s="11" t="s">
        <v>143</v>
      </c>
      <c r="C15" s="12"/>
      <c r="D15" s="12" t="n">
        <v>248</v>
      </c>
    </row>
    <row r="16" customFormat="false" ht="15" hidden="false" customHeight="false" outlineLevel="0" collapsed="false">
      <c r="A16" s="16" t="str">
        <f aca="false">IF(ROUND(C16-D16,2)=0,"✓","✗")</f>
        <v>✓</v>
      </c>
      <c r="B16" s="17" t="s">
        <v>35</v>
      </c>
      <c r="C16" s="18" t="n">
        <f aca="false">SUM(C13:C15)</f>
        <v>248</v>
      </c>
      <c r="D16" s="18" t="n">
        <f aca="false">SUM(D13:D15)</f>
        <v>248</v>
      </c>
    </row>
    <row r="17" customFormat="false" ht="30" hidden="false" customHeight="true" outlineLevel="0" collapsed="false">
      <c r="A17" s="19" t="s">
        <v>144</v>
      </c>
      <c r="B17" s="19"/>
      <c r="C17" s="19"/>
      <c r="D17" s="19"/>
    </row>
    <row r="19" customFormat="false" ht="19.5" hidden="false" customHeight="true" outlineLevel="0" collapsed="false">
      <c r="A19" s="9" t="s">
        <v>145</v>
      </c>
      <c r="B19" s="9"/>
      <c r="C19" s="9"/>
      <c r="D19" s="9"/>
    </row>
    <row r="20" customFormat="false" ht="15" hidden="false" customHeight="false" outlineLevel="0" collapsed="false">
      <c r="A20" s="4" t="s">
        <v>25</v>
      </c>
      <c r="B20" s="3" t="s">
        <v>26</v>
      </c>
      <c r="C20" s="4" t="s">
        <v>27</v>
      </c>
      <c r="D20" s="4" t="s">
        <v>28</v>
      </c>
    </row>
    <row r="21" customFormat="false" ht="15" hidden="false" customHeight="false" outlineLevel="0" collapsed="false">
      <c r="A21" s="10" t="s">
        <v>146</v>
      </c>
      <c r="B21" s="11" t="s">
        <v>147</v>
      </c>
      <c r="C21" s="12" t="n">
        <v>50</v>
      </c>
      <c r="D21" s="12"/>
    </row>
    <row r="22" customFormat="false" ht="15" hidden="false" customHeight="false" outlineLevel="0" collapsed="false">
      <c r="A22" s="13" t="s">
        <v>31</v>
      </c>
      <c r="B22" s="14" t="s">
        <v>32</v>
      </c>
      <c r="C22" s="15" t="n">
        <v>12</v>
      </c>
      <c r="D22" s="15"/>
    </row>
    <row r="23" customFormat="false" ht="15" hidden="false" customHeight="false" outlineLevel="0" collapsed="false">
      <c r="A23" s="10" t="s">
        <v>38</v>
      </c>
      <c r="B23" s="11" t="s">
        <v>39</v>
      </c>
      <c r="C23" s="12"/>
      <c r="D23" s="12" t="n">
        <v>62</v>
      </c>
    </row>
    <row r="24" customFormat="false" ht="15" hidden="false" customHeight="false" outlineLevel="0" collapsed="false">
      <c r="A24" s="16" t="str">
        <f aca="false">IF(ROUND(C24-D24,2)=0,"✓","✗")</f>
        <v>✓</v>
      </c>
      <c r="B24" s="17" t="s">
        <v>35</v>
      </c>
      <c r="C24" s="18" t="n">
        <f aca="false">SUM(C21:C23)</f>
        <v>62</v>
      </c>
      <c r="D24" s="18" t="n">
        <f aca="false">SUM(D21:D23)</f>
        <v>62</v>
      </c>
    </row>
    <row r="25" customFormat="false" ht="30" hidden="false" customHeight="true" outlineLevel="0" collapsed="false">
      <c r="A25" s="19" t="s">
        <v>148</v>
      </c>
      <c r="B25" s="19"/>
      <c r="C25" s="19"/>
      <c r="D25" s="19"/>
    </row>
    <row r="27" customFormat="false" ht="19.5" hidden="false" customHeight="true" outlineLevel="0" collapsed="false">
      <c r="A27" s="9" t="s">
        <v>149</v>
      </c>
      <c r="B27" s="9"/>
      <c r="C27" s="9"/>
      <c r="D27" s="9"/>
    </row>
    <row r="28" customFormat="false" ht="15" hidden="false" customHeight="false" outlineLevel="0" collapsed="false">
      <c r="A28" s="4" t="s">
        <v>25</v>
      </c>
      <c r="B28" s="3" t="s">
        <v>26</v>
      </c>
      <c r="C28" s="4" t="s">
        <v>27</v>
      </c>
      <c r="D28" s="4" t="s">
        <v>28</v>
      </c>
    </row>
    <row r="29" customFormat="false" ht="15" hidden="false" customHeight="false" outlineLevel="0" collapsed="false">
      <c r="A29" s="10" t="s">
        <v>150</v>
      </c>
      <c r="B29" s="11" t="s">
        <v>151</v>
      </c>
      <c r="C29" s="12" t="n">
        <v>100</v>
      </c>
      <c r="D29" s="12"/>
    </row>
    <row r="30" customFormat="false" ht="15" hidden="false" customHeight="false" outlineLevel="0" collapsed="false">
      <c r="A30" s="13" t="s">
        <v>31</v>
      </c>
      <c r="B30" s="14" t="s">
        <v>32</v>
      </c>
      <c r="C30" s="15" t="n">
        <v>24</v>
      </c>
      <c r="D30" s="15"/>
    </row>
    <row r="31" customFormat="false" ht="15" hidden="false" customHeight="false" outlineLevel="0" collapsed="false">
      <c r="A31" s="10" t="s">
        <v>43</v>
      </c>
      <c r="B31" s="11" t="s">
        <v>44</v>
      </c>
      <c r="C31" s="12"/>
      <c r="D31" s="12" t="n">
        <v>124</v>
      </c>
    </row>
    <row r="32" customFormat="false" ht="15" hidden="false" customHeight="false" outlineLevel="0" collapsed="false">
      <c r="A32" s="16" t="str">
        <f aca="false">IF(ROUND(C32-D32,2)=0,"✓","✗")</f>
        <v>✓</v>
      </c>
      <c r="B32" s="17" t="s">
        <v>35</v>
      </c>
      <c r="C32" s="18" t="n">
        <f aca="false">SUM(C29:C31)</f>
        <v>124</v>
      </c>
      <c r="D32" s="18" t="n">
        <f aca="false">SUM(D29:D31)</f>
        <v>124</v>
      </c>
    </row>
    <row r="33" customFormat="false" ht="30" hidden="false" customHeight="true" outlineLevel="0" collapsed="false">
      <c r="A33" s="19" t="s">
        <v>152</v>
      </c>
      <c r="B33" s="19"/>
      <c r="C33" s="19"/>
      <c r="D33" s="19"/>
    </row>
    <row r="35" customFormat="false" ht="19.5" hidden="false" customHeight="true" outlineLevel="0" collapsed="false">
      <c r="A35" s="9" t="s">
        <v>153</v>
      </c>
      <c r="B35" s="9"/>
      <c r="C35" s="9"/>
      <c r="D35" s="9"/>
    </row>
    <row r="36" customFormat="false" ht="15" hidden="false" customHeight="false" outlineLevel="0" collapsed="false">
      <c r="A36" s="4" t="s">
        <v>25</v>
      </c>
      <c r="B36" s="3" t="s">
        <v>26</v>
      </c>
      <c r="C36" s="4" t="s">
        <v>27</v>
      </c>
      <c r="D36" s="4" t="s">
        <v>28</v>
      </c>
    </row>
    <row r="37" customFormat="false" ht="15" hidden="false" customHeight="false" outlineLevel="0" collapsed="false">
      <c r="A37" s="10" t="s">
        <v>76</v>
      </c>
      <c r="B37" s="11" t="s">
        <v>154</v>
      </c>
      <c r="C37" s="12" t="n">
        <v>1000</v>
      </c>
      <c r="D37" s="12"/>
    </row>
    <row r="38" customFormat="false" ht="15" hidden="false" customHeight="false" outlineLevel="0" collapsed="false">
      <c r="A38" s="13" t="s">
        <v>31</v>
      </c>
      <c r="B38" s="14" t="s">
        <v>32</v>
      </c>
      <c r="C38" s="15" t="n">
        <v>240</v>
      </c>
      <c r="D38" s="15"/>
    </row>
    <row r="39" customFormat="false" ht="15" hidden="false" customHeight="false" outlineLevel="0" collapsed="false">
      <c r="A39" s="10" t="s">
        <v>155</v>
      </c>
      <c r="B39" s="11" t="s">
        <v>156</v>
      </c>
      <c r="C39" s="12"/>
      <c r="D39" s="12" t="n">
        <v>200</v>
      </c>
    </row>
    <row r="40" customFormat="false" ht="15" hidden="false" customHeight="false" outlineLevel="0" collapsed="false">
      <c r="A40" s="13" t="s">
        <v>43</v>
      </c>
      <c r="B40" s="14" t="s">
        <v>44</v>
      </c>
      <c r="C40" s="15"/>
      <c r="D40" s="15" t="n">
        <v>1040</v>
      </c>
    </row>
    <row r="41" customFormat="false" ht="15" hidden="false" customHeight="false" outlineLevel="0" collapsed="false">
      <c r="A41" s="16" t="str">
        <f aca="false">IF(ROUND(C41-D41,2)=0,"✓","✗")</f>
        <v>✓</v>
      </c>
      <c r="B41" s="17" t="s">
        <v>35</v>
      </c>
      <c r="C41" s="18" t="n">
        <f aca="false">SUM(C37:C40)</f>
        <v>1240</v>
      </c>
      <c r="D41" s="18" t="n">
        <f aca="false">SUM(D37:D40)</f>
        <v>1240</v>
      </c>
    </row>
    <row r="42" customFormat="false" ht="42" hidden="false" customHeight="true" outlineLevel="0" collapsed="false">
      <c r="A42" s="19" t="s">
        <v>157</v>
      </c>
      <c r="B42" s="19"/>
      <c r="C42" s="19"/>
      <c r="D42" s="19"/>
    </row>
  </sheetData>
  <mergeCells count="12">
    <mergeCell ref="A1:D1"/>
    <mergeCell ref="A2:D2"/>
    <mergeCell ref="A4:D4"/>
    <mergeCell ref="A9:D9"/>
    <mergeCell ref="A11:D11"/>
    <mergeCell ref="A17:D17"/>
    <mergeCell ref="A19:D19"/>
    <mergeCell ref="A25:D25"/>
    <mergeCell ref="A27:D27"/>
    <mergeCell ref="A33:D33"/>
    <mergeCell ref="A35:D35"/>
    <mergeCell ref="A42:D42"/>
  </mergeCells>
  <conditionalFormatting sqref="A8">
    <cfRule type="expression" priority="2" aboveAverage="0" equalAverage="0" bottom="0" percent="0" rank="0" text="" dxfId="0">
      <formula>A8="✓"</formula>
    </cfRule>
    <cfRule type="expression" priority="3" aboveAverage="0" equalAverage="0" bottom="0" percent="0" rank="0" text="" dxfId="1">
      <formula>A8="✗"</formula>
    </cfRule>
  </conditionalFormatting>
  <conditionalFormatting sqref="A16">
    <cfRule type="expression" priority="4" aboveAverage="0" equalAverage="0" bottom="0" percent="0" rank="0" text="" dxfId="0">
      <formula>A16="✓"</formula>
    </cfRule>
    <cfRule type="expression" priority="5" aboveAverage="0" equalAverage="0" bottom="0" percent="0" rank="0" text="" dxfId="1">
      <formula>A16="✗"</formula>
    </cfRule>
  </conditionalFormatting>
  <conditionalFormatting sqref="A24">
    <cfRule type="expression" priority="6" aboveAverage="0" equalAverage="0" bottom="0" percent="0" rank="0" text="" dxfId="0">
      <formula>A24="✓"</formula>
    </cfRule>
    <cfRule type="expression" priority="7" aboveAverage="0" equalAverage="0" bottom="0" percent="0" rank="0" text="" dxfId="1">
      <formula>A24="✗"</formula>
    </cfRule>
  </conditionalFormatting>
  <conditionalFormatting sqref="A32">
    <cfRule type="expression" priority="8" aboveAverage="0" equalAverage="0" bottom="0" percent="0" rank="0" text="" dxfId="0">
      <formula>A32="✓"</formula>
    </cfRule>
    <cfRule type="expression" priority="9" aboveAverage="0" equalAverage="0" bottom="0" percent="0" rank="0" text="" dxfId="1">
      <formula>A32="✗"</formula>
    </cfRule>
  </conditionalFormatting>
  <conditionalFormatting sqref="A41">
    <cfRule type="expression" priority="10" aboveAverage="0" equalAverage="0" bottom="0" percent="0" rank="0" text="" dxfId="0">
      <formula>A41="✓"</formula>
    </cfRule>
    <cfRule type="expression" priority="11" aboveAverage="0" equalAverage="0" bottom="0" percent="0" rank="0" text="" dxfId="1">
      <formula>A41="✗"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2"/>
    <col collapsed="false" customWidth="true" hidden="false" outlineLevel="0" max="4" min="3" style="0" width="15"/>
  </cols>
  <sheetData>
    <row r="1" customFormat="false" ht="27.75" hidden="false" customHeight="true" outlineLevel="0" collapsed="false">
      <c r="A1" s="1" t="s">
        <v>158</v>
      </c>
      <c r="B1" s="1"/>
      <c r="C1" s="1"/>
      <c r="D1" s="1"/>
    </row>
    <row r="2" customFormat="false" ht="21.75" hidden="false" customHeight="true" outlineLevel="0" collapsed="false">
      <c r="A2" s="2" t="s">
        <v>159</v>
      </c>
      <c r="B2" s="2"/>
      <c r="C2" s="2"/>
      <c r="D2" s="2"/>
    </row>
    <row r="4" customFormat="false" ht="19.5" hidden="false" customHeight="true" outlineLevel="0" collapsed="false">
      <c r="A4" s="9" t="s">
        <v>160</v>
      </c>
      <c r="B4" s="9"/>
      <c r="C4" s="9"/>
      <c r="D4" s="9"/>
    </row>
    <row r="5" customFormat="false" ht="15" hidden="false" customHeight="false" outlineLevel="0" collapsed="false">
      <c r="A5" s="4" t="s">
        <v>25</v>
      </c>
      <c r="B5" s="3" t="s">
        <v>26</v>
      </c>
      <c r="C5" s="4" t="s">
        <v>27</v>
      </c>
      <c r="D5" s="4" t="s">
        <v>28</v>
      </c>
    </row>
    <row r="6" customFormat="false" ht="15" hidden="false" customHeight="false" outlineLevel="0" collapsed="false">
      <c r="A6" s="10" t="s">
        <v>31</v>
      </c>
      <c r="B6" s="11" t="s">
        <v>161</v>
      </c>
      <c r="C6" s="12" t="n">
        <v>3000</v>
      </c>
      <c r="D6" s="12"/>
    </row>
    <row r="7" customFormat="false" ht="15" hidden="false" customHeight="false" outlineLevel="0" collapsed="false">
      <c r="A7" s="13" t="s">
        <v>31</v>
      </c>
      <c r="B7" s="14" t="s">
        <v>162</v>
      </c>
      <c r="C7" s="15"/>
      <c r="D7" s="15" t="n">
        <v>2000</v>
      </c>
    </row>
    <row r="8" customFormat="false" ht="15" hidden="false" customHeight="false" outlineLevel="0" collapsed="false">
      <c r="A8" s="10" t="s">
        <v>163</v>
      </c>
      <c r="B8" s="11" t="s">
        <v>164</v>
      </c>
      <c r="C8" s="12"/>
      <c r="D8" s="12" t="n">
        <v>1000</v>
      </c>
    </row>
    <row r="9" customFormat="false" ht="15" hidden="false" customHeight="false" outlineLevel="0" collapsed="false">
      <c r="A9" s="16" t="str">
        <f aca="false">IF(ROUND(C9-D9,2)=0,"✓","✗")</f>
        <v>✓</v>
      </c>
      <c r="B9" s="17" t="s">
        <v>35</v>
      </c>
      <c r="C9" s="18" t="n">
        <f aca="false">SUM(C6:C8)</f>
        <v>3000</v>
      </c>
      <c r="D9" s="18" t="n">
        <f aca="false">SUM(D6:D8)</f>
        <v>3000</v>
      </c>
    </row>
    <row r="10" customFormat="false" ht="42" hidden="false" customHeight="true" outlineLevel="0" collapsed="false">
      <c r="A10" s="19" t="s">
        <v>165</v>
      </c>
      <c r="B10" s="19"/>
      <c r="C10" s="19"/>
      <c r="D10" s="19"/>
    </row>
    <row r="12" customFormat="false" ht="19.5" hidden="false" customHeight="true" outlineLevel="0" collapsed="false">
      <c r="A12" s="9" t="s">
        <v>166</v>
      </c>
      <c r="B12" s="9"/>
      <c r="C12" s="9"/>
      <c r="D12" s="9"/>
    </row>
    <row r="13" customFormat="false" ht="15" hidden="false" customHeight="false" outlineLevel="0" collapsed="false">
      <c r="A13" s="4" t="s">
        <v>25</v>
      </c>
      <c r="B13" s="3" t="s">
        <v>26</v>
      </c>
      <c r="C13" s="4" t="s">
        <v>27</v>
      </c>
      <c r="D13" s="4" t="s">
        <v>28</v>
      </c>
    </row>
    <row r="14" customFormat="false" ht="15" hidden="false" customHeight="false" outlineLevel="0" collapsed="false">
      <c r="A14" s="10" t="s">
        <v>31</v>
      </c>
      <c r="B14" s="11" t="s">
        <v>161</v>
      </c>
      <c r="C14" s="12" t="n">
        <v>2000</v>
      </c>
      <c r="D14" s="12"/>
    </row>
    <row r="15" customFormat="false" ht="15" hidden="false" customHeight="false" outlineLevel="0" collapsed="false">
      <c r="A15" s="13" t="s">
        <v>167</v>
      </c>
      <c r="B15" s="14" t="s">
        <v>168</v>
      </c>
      <c r="C15" s="15" t="n">
        <v>500</v>
      </c>
      <c r="D15" s="15"/>
    </row>
    <row r="16" customFormat="false" ht="15" hidden="false" customHeight="false" outlineLevel="0" collapsed="false">
      <c r="A16" s="10" t="s">
        <v>31</v>
      </c>
      <c r="B16" s="11" t="s">
        <v>162</v>
      </c>
      <c r="C16" s="12"/>
      <c r="D16" s="12" t="n">
        <v>2500</v>
      </c>
    </row>
    <row r="17" customFormat="false" ht="15" hidden="false" customHeight="false" outlineLevel="0" collapsed="false">
      <c r="A17" s="16" t="str">
        <f aca="false">IF(ROUND(C17-D17,2)=0,"✓","✗")</f>
        <v>✓</v>
      </c>
      <c r="B17" s="17" t="s">
        <v>35</v>
      </c>
      <c r="C17" s="18" t="n">
        <f aca="false">SUM(C14:C16)</f>
        <v>2500</v>
      </c>
      <c r="D17" s="18" t="n">
        <f aca="false">SUM(D14:D16)</f>
        <v>2500</v>
      </c>
    </row>
    <row r="18" customFormat="false" ht="42" hidden="false" customHeight="true" outlineLevel="0" collapsed="false">
      <c r="A18" s="19" t="s">
        <v>169</v>
      </c>
      <c r="B18" s="19"/>
      <c r="C18" s="19"/>
      <c r="D18" s="19"/>
    </row>
    <row r="20" customFormat="false" ht="19.5" hidden="false" customHeight="true" outlineLevel="0" collapsed="false">
      <c r="A20" s="9" t="s">
        <v>170</v>
      </c>
      <c r="B20" s="9"/>
      <c r="C20" s="9"/>
      <c r="D20" s="9"/>
    </row>
    <row r="21" customFormat="false" ht="15" hidden="false" customHeight="false" outlineLevel="0" collapsed="false">
      <c r="A21" s="4" t="s">
        <v>25</v>
      </c>
      <c r="B21" s="3" t="s">
        <v>26</v>
      </c>
      <c r="C21" s="4" t="s">
        <v>27</v>
      </c>
      <c r="D21" s="4" t="s">
        <v>28</v>
      </c>
    </row>
    <row r="22" customFormat="false" ht="15" hidden="false" customHeight="false" outlineLevel="0" collapsed="false">
      <c r="A22" s="10" t="s">
        <v>171</v>
      </c>
      <c r="B22" s="11" t="s">
        <v>172</v>
      </c>
      <c r="C22" s="12" t="n">
        <v>500</v>
      </c>
      <c r="D22" s="12"/>
    </row>
    <row r="23" customFormat="false" ht="15" hidden="false" customHeight="false" outlineLevel="0" collapsed="false">
      <c r="A23" s="13" t="s">
        <v>173</v>
      </c>
      <c r="B23" s="14" t="s">
        <v>174</v>
      </c>
      <c r="C23" s="15"/>
      <c r="D23" s="15" t="n">
        <v>500</v>
      </c>
    </row>
    <row r="24" customFormat="false" ht="15" hidden="false" customHeight="false" outlineLevel="0" collapsed="false">
      <c r="A24" s="16" t="str">
        <f aca="false">IF(ROUND(C24-D24,2)=0,"✓","✗")</f>
        <v>✓</v>
      </c>
      <c r="B24" s="17" t="s">
        <v>35</v>
      </c>
      <c r="C24" s="18" t="n">
        <f aca="false">SUM(C22:C23)</f>
        <v>500</v>
      </c>
      <c r="D24" s="18" t="n">
        <f aca="false">SUM(D22:D23)</f>
        <v>500</v>
      </c>
    </row>
    <row r="25" customFormat="false" ht="42" hidden="false" customHeight="true" outlineLevel="0" collapsed="false">
      <c r="A25" s="19" t="s">
        <v>175</v>
      </c>
      <c r="B25" s="19"/>
      <c r="C25" s="19"/>
      <c r="D25" s="19"/>
    </row>
    <row r="27" customFormat="false" ht="19.5" hidden="false" customHeight="true" outlineLevel="0" collapsed="false">
      <c r="A27" s="9" t="s">
        <v>176</v>
      </c>
      <c r="B27" s="9"/>
      <c r="C27" s="9"/>
      <c r="D27" s="9"/>
    </row>
    <row r="28" customFormat="false" ht="15" hidden="false" customHeight="false" outlineLevel="0" collapsed="false">
      <c r="A28" s="4" t="s">
        <v>25</v>
      </c>
      <c r="B28" s="3" t="s">
        <v>26</v>
      </c>
      <c r="C28" s="4" t="s">
        <v>27</v>
      </c>
      <c r="D28" s="4" t="s">
        <v>28</v>
      </c>
    </row>
    <row r="29" customFormat="false" ht="15" hidden="false" customHeight="false" outlineLevel="0" collapsed="false">
      <c r="A29" s="10" t="s">
        <v>163</v>
      </c>
      <c r="B29" s="11" t="s">
        <v>177</v>
      </c>
      <c r="C29" s="12" t="n">
        <v>1000</v>
      </c>
      <c r="D29" s="12"/>
    </row>
    <row r="30" customFormat="false" ht="15" hidden="false" customHeight="false" outlineLevel="0" collapsed="false">
      <c r="A30" s="13" t="s">
        <v>43</v>
      </c>
      <c r="B30" s="14" t="s">
        <v>44</v>
      </c>
      <c r="C30" s="15"/>
      <c r="D30" s="15" t="n">
        <v>1000</v>
      </c>
    </row>
    <row r="31" customFormat="false" ht="15" hidden="false" customHeight="false" outlineLevel="0" collapsed="false">
      <c r="A31" s="16" t="str">
        <f aca="false">IF(ROUND(C31-D31,2)=0,"✓","✗")</f>
        <v>✓</v>
      </c>
      <c r="B31" s="17" t="s">
        <v>35</v>
      </c>
      <c r="C31" s="18" t="n">
        <f aca="false">SUM(C29:C30)</f>
        <v>1000</v>
      </c>
      <c r="D31" s="18" t="n">
        <f aca="false">SUM(D29:D30)</f>
        <v>1000</v>
      </c>
    </row>
    <row r="32" customFormat="false" ht="30" hidden="false" customHeight="true" outlineLevel="0" collapsed="false">
      <c r="A32" s="19" t="s">
        <v>178</v>
      </c>
      <c r="B32" s="19"/>
      <c r="C32" s="19"/>
      <c r="D32" s="19"/>
    </row>
  </sheetData>
  <mergeCells count="10">
    <mergeCell ref="A1:D1"/>
    <mergeCell ref="A2:D2"/>
    <mergeCell ref="A4:D4"/>
    <mergeCell ref="A10:D10"/>
    <mergeCell ref="A12:D12"/>
    <mergeCell ref="A18:D18"/>
    <mergeCell ref="A20:D20"/>
    <mergeCell ref="A25:D25"/>
    <mergeCell ref="A27:D27"/>
    <mergeCell ref="A32:D32"/>
  </mergeCells>
  <conditionalFormatting sqref="A9">
    <cfRule type="expression" priority="2" aboveAverage="0" equalAverage="0" bottom="0" percent="0" rank="0" text="" dxfId="0">
      <formula>A9="✓"</formula>
    </cfRule>
    <cfRule type="expression" priority="3" aboveAverage="0" equalAverage="0" bottom="0" percent="0" rank="0" text="" dxfId="1">
      <formula>A9="✗"</formula>
    </cfRule>
  </conditionalFormatting>
  <conditionalFormatting sqref="A17">
    <cfRule type="expression" priority="4" aboveAverage="0" equalAverage="0" bottom="0" percent="0" rank="0" text="" dxfId="0">
      <formula>A17="✓"</formula>
    </cfRule>
    <cfRule type="expression" priority="5" aboveAverage="0" equalAverage="0" bottom="0" percent="0" rank="0" text="" dxfId="1">
      <formula>A17="✗"</formula>
    </cfRule>
  </conditionalFormatting>
  <conditionalFormatting sqref="A24">
    <cfRule type="expression" priority="6" aboveAverage="0" equalAverage="0" bottom="0" percent="0" rank="0" text="" dxfId="0">
      <formula>A24="✓"</formula>
    </cfRule>
    <cfRule type="expression" priority="7" aboveAverage="0" equalAverage="0" bottom="0" percent="0" rank="0" text="" dxfId="1">
      <formula>A24="✗"</formula>
    </cfRule>
  </conditionalFormatting>
  <conditionalFormatting sqref="A31">
    <cfRule type="expression" priority="8" aboveAverage="0" equalAverage="0" bottom="0" percent="0" rank="0" text="" dxfId="0">
      <formula>A31="✓"</formula>
    </cfRule>
    <cfRule type="expression" priority="9" aboveAverage="0" equalAverage="0" bottom="0" percent="0" rank="0" text="" dxfId="1">
      <formula>A31="✗"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2026-07-11T16:16:50Z</dcterms:created>
  <dc:creator>openpyxl</dc:creator>
  <dc:description/>
  <dc:language>en-US</dc:language>
  <cp:lastModifiedBy/>
  <dcterms:modified xsi:type="dcterms:W3CDTF">2026-07-11T16:16:50Z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