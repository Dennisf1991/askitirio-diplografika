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Οδηγίες" sheetId="1" state="visible" r:id="rId3"/>
    <sheet name="Σχέδιο Λογαριασμών" sheetId="2" state="visible" r:id="rId4"/>
    <sheet name="Ημερολόγιο" sheetId="3" state="visible" r:id="rId5"/>
    <sheet name="Ισοζύγιο" sheetId="4" state="visible" r:id="rId6"/>
    <sheet name="Καθολικό (Τ)" sheetId="5" state="visible" r:id="rId7"/>
    <sheet name="Ασκήσεις" sheetId="6" state="visible" r:id="rId8"/>
    <sheet name="Αποτελέσματα-Ισολογισμός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<sst xmlns="http://schemas.openxmlformats.org/spreadsheetml/2006/main" count="511" uniqueCount="228">
  <si>
    <t xml:space="preserve">ΔΙΠΛΟΓΡΑΦΙΚΑ ΒΙΒΛΙΑ ΕΓΛΣ — Πρακτικό Εργαλείο</t>
  </si>
  <si>
    <t xml:space="preserve">Θεωρία + ζωντανά παραδείγματα σε Excel  •  για αρχάριους</t>
  </si>
  <si>
    <t xml:space="preserve">ΤΙ ΕΙΝΑΙ ΑΥΤΟ ΤΟ ΑΡΧΕΙΟ</t>
  </si>
  <si>
    <t xml:space="preserve">Ένα ολοκληρωμένο, ζωντανό μοντέλο διπλογραφικής λογιστικής. Γράφεις εγγραφές στο ΗΜΕΡΟΛΟΓΙΟ και</t>
  </si>
  <si>
    <t xml:space="preserve">το ΙΣΟΖΥΓΙΟ και το ΚΑΘΟΛΙΚΟ ενημερώνονται ΑΥΤΟΜΑΤΑ με τύπους. Δες πώς "κουμπώνουν" όλα μεταξύ τους.</t>
  </si>
  <si>
    <t xml:space="preserve">ΤΑ ΦΥΛΛΑ (καρτέλες κάτω)</t>
  </si>
  <si>
    <t xml:space="preserve">1) Σχέδιο Λογαριασμών  →  Η λίστα των λογαριασμών ΕΓΛΣ (κωδικός + περιγραφή + είδος).</t>
  </si>
  <si>
    <t xml:space="preserve">2) Ημερολόγιο          →  ΕΔΩ ΓΡΑΦΕΙΣ. Κάθε συναλλαγή = γραμμές με Χρέωση &amp; Πίστωση που ισοσκελίζουν.</t>
  </si>
  <si>
    <t xml:space="preserve">3) Ισοζύγιο            →  Αθροίζει αυτόματα κάθε λογαριασμό. Ελέγχει ότι Σ.Χρέωσης = Σ.Πίστωσης.</t>
  </si>
  <si>
    <t xml:space="preserve">4) Καθολικό (Τ)        →  Δείχνει τους βασικούς λογαριασμούς σε μορφή "Τ" (αριστερά Χρέωση, δεξιά Πίστωση).</t>
  </si>
  <si>
    <t xml:space="preserve">5) Ασκήσεις            →  5 συναλλαγές για εξάσκηση, με λύσεις από κάτω.</t>
  </si>
  <si>
    <t xml:space="preserve">ΠΩΣ ΝΑ ΤΟ ΧΡΗΣΙΜΟΠΟΙΗΣΕΙΣ (3 βήματα)</t>
  </si>
  <si>
    <t xml:space="preserve">Βήμα 1:  Πήγαινε στο ΗΜΕΡΟΛΟΓΙΟ. Οι γραμμές 1–11 είναι έτοιμα παραδείγματα ενός μήνα εμπορικής επιχείρησης.</t>
  </si>
  <si>
    <t xml:space="preserve">Βήμα 2:  Πρόσθεσε δικές σου εγγραφές στις κενές γραμμές. Γράψε τον Κωδικό λογαριασμού — το όνομα μπαίνει μόνο του.</t>
  </si>
  <si>
    <t xml:space="preserve">Βήμα 3:  Δες το ΙΣΟΖΥΓΙΟ. Το κελί ελέγχου κάτω-δεξιά πρέπει να λέει «ΙΣΟΣΚΕΛΙΖΕΙ». Αν όχι, κάπου η εγγραφή δεν κλείνει.</t>
  </si>
  <si>
    <t xml:space="preserve">Ο ΧΡΥΣΟΣ ΚΑΝΟΝΑΣ</t>
  </si>
  <si>
    <t xml:space="preserve">Σε ΚΑΘΕ εγγραφή:  Σύνολο Χρεώσεων  =  Σύνολο Πιστώσεων.  Αν δεν ισχύει αυτό, η εγγραφή είναι λάθος.</t>
  </si>
  <si>
    <t xml:space="preserve">ΥΠΟΜΝΗΜΑ ΧΡΩΜΑΤΩΝ</t>
  </si>
  <si>
    <t xml:space="preserve">Κίτρινο = κελιά που ΣΥΜΠΛΗΡΩΝΕΙΣ εσύ (εγγραφές)</t>
  </si>
  <si>
    <t xml:space="preserve">Γαλάζιο = επικεφαλίδες / τίτλοι</t>
  </si>
  <si>
    <t xml:space="preserve">Πράσινο = αυτόματα αθροίσματα &amp; έλεγχοι (μην τα πειράζεις)</t>
  </si>
  <si>
    <t xml:space="preserve">Λευκό = τύποι που υπολογίζονται μόνοι τους</t>
  </si>
  <si>
    <t xml:space="preserve">Σημείωση: Οι κωδικοί ακολουθούν το ΕΓΛΣ, που παραμένει η βάση κωδικοποίησης και στα σημερινά ΕΛΠ (Ν.4308/2014).</t>
  </si>
  <si>
    <t xml:space="preserve">ΣΧΕΔΙΟ ΛΟΓΑΡΙΑΣΜΩΝ (ΕΓΛΣ)</t>
  </si>
  <si>
    <t xml:space="preserve">Αντιπροσωπευτικοί λογαριασμοί ανά ομάδα  •  «Είδος» = φύση λογαριασμού</t>
  </si>
  <si>
    <t xml:space="preserve">Κωδικός</t>
  </si>
  <si>
    <t xml:space="preserve">Περιγραφή Λογαριασμού</t>
  </si>
  <si>
    <t xml:space="preserve">Ομάδα</t>
  </si>
  <si>
    <t xml:space="preserve">Είδος</t>
  </si>
  <si>
    <t xml:space="preserve">Κανονικό Υπόλοιπο</t>
  </si>
  <si>
    <t xml:space="preserve">10.00</t>
  </si>
  <si>
    <t xml:space="preserve">Εδαφικές εκτάσεις (Γήπεδα-Οικόπεδα)</t>
  </si>
  <si>
    <t xml:space="preserve">1. Πάγιο ενεργητικό</t>
  </si>
  <si>
    <t xml:space="preserve">Ενεργητικό</t>
  </si>
  <si>
    <t xml:space="preserve">Χρεωστικό</t>
  </si>
  <si>
    <t xml:space="preserve">11.00</t>
  </si>
  <si>
    <t xml:space="preserve">Κτίρια - Εγκαταστάσεις κτιρίων</t>
  </si>
  <si>
    <t xml:space="preserve">12.00</t>
  </si>
  <si>
    <t xml:space="preserve">Μηχανήματα - Τεχνικές εγκαταστάσεις</t>
  </si>
  <si>
    <t xml:space="preserve">13.00</t>
  </si>
  <si>
    <t xml:space="preserve">Μεταφορικά μέσα</t>
  </si>
  <si>
    <t xml:space="preserve">14.00</t>
  </si>
  <si>
    <t xml:space="preserve">Έπιπλα και λοιπός εξοπλισμός</t>
  </si>
  <si>
    <t xml:space="preserve">16.00</t>
  </si>
  <si>
    <t xml:space="preserve">Ασώματες ακινητοποιήσεις (άυλα)</t>
  </si>
  <si>
    <t xml:space="preserve">20.00</t>
  </si>
  <si>
    <t xml:space="preserve">Εμπορεύματα</t>
  </si>
  <si>
    <t xml:space="preserve">2. Αποθέματα</t>
  </si>
  <si>
    <t xml:space="preserve">24.00</t>
  </si>
  <si>
    <t xml:space="preserve">Πρώτες &amp; βοηθητικές ύλες</t>
  </si>
  <si>
    <t xml:space="preserve">30.00</t>
  </si>
  <si>
    <t xml:space="preserve">Πελάτες</t>
  </si>
  <si>
    <t xml:space="preserve">3. Απαιτήσεις &amp; Διαθέσιμα</t>
  </si>
  <si>
    <t xml:space="preserve">33.00</t>
  </si>
  <si>
    <t xml:space="preserve">Χρεώστες διάφοροι</t>
  </si>
  <si>
    <t xml:space="preserve">38.00</t>
  </si>
  <si>
    <t xml:space="preserve">Ταμείο</t>
  </si>
  <si>
    <t xml:space="preserve">38.03</t>
  </si>
  <si>
    <t xml:space="preserve">Καταθέσεις όψεως (Τράπεζα)</t>
  </si>
  <si>
    <t xml:space="preserve">40.00</t>
  </si>
  <si>
    <t xml:space="preserve">Κεφάλαιο</t>
  </si>
  <si>
    <t xml:space="preserve">4. Καθαρή θέση / Μακρ. υποχρ.</t>
  </si>
  <si>
    <t xml:space="preserve">Καθαρή θέση</t>
  </si>
  <si>
    <t xml:space="preserve">Πιστωτικό</t>
  </si>
  <si>
    <t xml:space="preserve">41.00</t>
  </si>
  <si>
    <t xml:space="preserve">Αποθεματικά</t>
  </si>
  <si>
    <t xml:space="preserve">42.00</t>
  </si>
  <si>
    <t xml:space="preserve">Αποτελέσματα εις νέο</t>
  </si>
  <si>
    <t xml:space="preserve">45.00</t>
  </si>
  <si>
    <t xml:space="preserve">Μακροπρόθεσμες υποχρεώσεις (Δάνεια)</t>
  </si>
  <si>
    <t xml:space="preserve">Παθητικό</t>
  </si>
  <si>
    <t xml:space="preserve">50.00</t>
  </si>
  <si>
    <t xml:space="preserve">Προμηθευτές</t>
  </si>
  <si>
    <t xml:space="preserve">5. Βραχυπρ. υποχρεώσεις</t>
  </si>
  <si>
    <t xml:space="preserve">53.00</t>
  </si>
  <si>
    <t xml:space="preserve">Αποδοχές προσωπικού πληρωτέες</t>
  </si>
  <si>
    <t xml:space="preserve">54.00</t>
  </si>
  <si>
    <t xml:space="preserve">Φ.Π.Α.</t>
  </si>
  <si>
    <t xml:space="preserve">ΦΠΑ (μεικτό)</t>
  </si>
  <si>
    <t xml:space="preserve">Ανάλογα</t>
  </si>
  <si>
    <t xml:space="preserve">54.03</t>
  </si>
  <si>
    <t xml:space="preserve">Φόρος Μισθωτών Υπηρεσιών (ΦΜΥ)</t>
  </si>
  <si>
    <t xml:space="preserve">55.00</t>
  </si>
  <si>
    <t xml:space="preserve">Ασφαλιστικοί οργανισμοί (ΕΦΚΑ)</t>
  </si>
  <si>
    <t xml:space="preserve">60.00</t>
  </si>
  <si>
    <t xml:space="preserve">Αμοιβές έμμισθου προσωπικού</t>
  </si>
  <si>
    <t xml:space="preserve">6. Οργανικά έξοδα</t>
  </si>
  <si>
    <t xml:space="preserve">Έξοδο</t>
  </si>
  <si>
    <t xml:space="preserve">60.03</t>
  </si>
  <si>
    <t xml:space="preserve">Εργοδοτικές εισφορές</t>
  </si>
  <si>
    <t xml:space="preserve">61.00</t>
  </si>
  <si>
    <t xml:space="preserve">Αμοιβές &amp; έξοδα τρίτων</t>
  </si>
  <si>
    <t xml:space="preserve">62.03</t>
  </si>
  <si>
    <t xml:space="preserve">Τηλεπικοινωνίες</t>
  </si>
  <si>
    <t xml:space="preserve">62.04</t>
  </si>
  <si>
    <t xml:space="preserve">Ενοίκια</t>
  </si>
  <si>
    <t xml:space="preserve">62.98</t>
  </si>
  <si>
    <t xml:space="preserve">Λοιπές παροχές τρίτων (ΔΕΗ, ύδρευση)</t>
  </si>
  <si>
    <t xml:space="preserve">64.00</t>
  </si>
  <si>
    <t xml:space="preserve">Έξοδα μεταφορών</t>
  </si>
  <si>
    <t xml:space="preserve">64.07</t>
  </si>
  <si>
    <t xml:space="preserve">Έντυπα &amp; γραφική ύλη</t>
  </si>
  <si>
    <t xml:space="preserve">66.00</t>
  </si>
  <si>
    <t xml:space="preserve">Αποσβέσεις παγίων</t>
  </si>
  <si>
    <t xml:space="preserve">70.00</t>
  </si>
  <si>
    <t xml:space="preserve">Πωλήσεις εμπορευμάτων</t>
  </si>
  <si>
    <t xml:space="preserve">7. Οργανικά έσοδα</t>
  </si>
  <si>
    <t xml:space="preserve">Έσοδο</t>
  </si>
  <si>
    <t xml:space="preserve">71.00</t>
  </si>
  <si>
    <t xml:space="preserve">Πωλήσεις προϊόντων</t>
  </si>
  <si>
    <t xml:space="preserve">73.00</t>
  </si>
  <si>
    <t xml:space="preserve">Έσοδα παροχής υπηρεσιών</t>
  </si>
  <si>
    <t xml:space="preserve">76.00</t>
  </si>
  <si>
    <t xml:space="preserve">Έσοδα κεφαλαίων (τόκοι)</t>
  </si>
  <si>
    <t xml:space="preserve">80.00</t>
  </si>
  <si>
    <t xml:space="preserve">Γενική εκμετάλλευση</t>
  </si>
  <si>
    <t xml:space="preserve">8. Αποτελέσματα</t>
  </si>
  <si>
    <t xml:space="preserve">Αποτέλεσμα</t>
  </si>
  <si>
    <t xml:space="preserve">—</t>
  </si>
  <si>
    <t xml:space="preserve">86.00</t>
  </si>
  <si>
    <t xml:space="preserve">Αποτελέσματα χρήσεως</t>
  </si>
  <si>
    <t xml:space="preserve">ΗΜΕΡΟΛΟΓΙΟ (Βιβλίο πρώτης εγγραφής)</t>
  </si>
  <si>
    <t xml:space="preserve">Γράψε τον Κωδικό και το όνομα του λογαριασμού μπαίνει μόνο του  •  Κάθε εγγραφή πρέπει να ισοσκελίζει</t>
  </si>
  <si>
    <t xml:space="preserve">Α/Α</t>
  </si>
  <si>
    <t xml:space="preserve">Ημ/νία</t>
  </si>
  <si>
    <t xml:space="preserve">Παραστατικό</t>
  </si>
  <si>
    <t xml:space="preserve">Αιτιολογία</t>
  </si>
  <si>
    <t xml:space="preserve">Κωδικός
Λογ/σμού</t>
  </si>
  <si>
    <t xml:space="preserve">Λογαριασμός (αυτόματο)</t>
  </si>
  <si>
    <t xml:space="preserve">Χρέωση</t>
  </si>
  <si>
    <t xml:space="preserve">Πίστωση</t>
  </si>
  <si>
    <t xml:space="preserve">01/06/2025</t>
  </si>
  <si>
    <t xml:space="preserve">Έναρξη: εισφορά κεφαλαίου (μετρητά + τράπεζα)</t>
  </si>
  <si>
    <t xml:space="preserve">03/06/2025</t>
  </si>
  <si>
    <t xml:space="preserve">ΤΙΜ.Α-101</t>
  </si>
  <si>
    <t xml:space="preserve">Αγορά ραφιών/εξοπλισμού με ΦΠΑ 24%, επί πιστώσει</t>
  </si>
  <si>
    <t xml:space="preserve">05/06/2025</t>
  </si>
  <si>
    <t xml:space="preserve">ΤΙΜ.Α-215</t>
  </si>
  <si>
    <t xml:space="preserve">Αγορά εμπορευμάτων με ΦΠΑ 24%, επί πιστώσει</t>
  </si>
  <si>
    <t xml:space="preserve">10/06/2025</t>
  </si>
  <si>
    <t xml:space="preserve">ΤΙΜ.Π-1</t>
  </si>
  <si>
    <t xml:space="preserve">Πώληση εμπορευμάτων με ΦΠΑ 24%, επί πιστώσει</t>
  </si>
  <si>
    <t xml:space="preserve">12/06/2025</t>
  </si>
  <si>
    <t xml:space="preserve">Ζ-report</t>
  </si>
  <si>
    <t xml:space="preserve">Λιανική πώληση τοις μετρητοίς με ΦΠΑ 24%</t>
  </si>
  <si>
    <t xml:space="preserve">15/06/2025</t>
  </si>
  <si>
    <t xml:space="preserve">EXTRAIT</t>
  </si>
  <si>
    <t xml:space="preserve">Εξόφληση προμηθευτή (εγγρ.3) με έμβασμα</t>
  </si>
  <si>
    <t xml:space="preserve">18/06/2025</t>
  </si>
  <si>
    <t xml:space="preserve">Είσπραξη από πελάτη (εγγρ.4) στην τράπεζα</t>
  </si>
  <si>
    <t xml:space="preserve">20/06/2025</t>
  </si>
  <si>
    <t xml:space="preserve">ΑΠΟΔ.ΕΝΟΙΚ.</t>
  </si>
  <si>
    <t xml:space="preserve">Πληρωμή ενοικίου καταστήματος (χωρίς ΦΠΑ)</t>
  </si>
  <si>
    <t xml:space="preserve">22/06/2025</t>
  </si>
  <si>
    <t xml:space="preserve">ΔΕΗ-0622</t>
  </si>
  <si>
    <t xml:space="preserve">Λογαριασμός ΔΕΗ με ΦΠΑ 24%, επί πιστώσει</t>
  </si>
  <si>
    <t xml:space="preserve">25/06/2025</t>
  </si>
  <si>
    <t xml:space="preserve">ΟΤΕ-0622</t>
  </si>
  <si>
    <t xml:space="preserve">Λογαριασμός τηλεφώνου/internet με ΦΠΑ 24%, μετρητά</t>
  </si>
  <si>
    <t xml:space="preserve">30/06/2025</t>
  </si>
  <si>
    <t xml:space="preserve">ΜΙΣΘΟΔ.06</t>
  </si>
  <si>
    <t xml:space="preserve">Μισθοδοσία μηνός (μικτά, εργοδοτικές, κρατήσεις)</t>
  </si>
  <si>
    <t xml:space="preserve">ΠΙΝ.ΑΠΟΣΒ.</t>
  </si>
  <si>
    <t xml:space="preserve">Μηνιαία απόσβεση εξοπλισμού (ραφιών)</t>
  </si>
  <si>
    <t xml:space="preserve">Επιπλέον λιανική πώληση μετρητοίς με ΦΠΑ 24%</t>
  </si>
  <si>
    <t xml:space="preserve">01/07/2025</t>
  </si>
  <si>
    <t xml:space="preserve">Πληρωμή καθαρής μισθοδοσίας εργαζομένου (κλείνει 53.00)</t>
  </si>
  <si>
    <t xml:space="preserve">ΣΥΝΟΛΑ</t>
  </si>
  <si>
    <t xml:space="preserve">ΕΛΕΓΧΟΣ ΙΣΟΣΚΕΛΙΣΗΣ  (Σ.Χρέωσης − Σ.Πίστωσης = 0):</t>
  </si>
  <si>
    <t xml:space="preserve">ΙΣΟΖΥΓΙΟ ΛΟΓΑΡΙΑΣΜΩΝ</t>
  </si>
  <si>
    <t xml:space="preserve">Αθροίζει αυτόματα το Ημερολόγιο (SUMIFS)  •  Τα σύνολα των δύο πλευρών πρέπει να είναι ίσα</t>
  </si>
  <si>
    <t xml:space="preserve">Λογαριασμός</t>
  </si>
  <si>
    <t xml:space="preserve">Σύνολο Χρέωσης</t>
  </si>
  <si>
    <t xml:space="preserve">Σύνολο Πίστωσης</t>
  </si>
  <si>
    <t xml:space="preserve">Χρεωστικό Υπόλοιπο</t>
  </si>
  <si>
    <t xml:space="preserve">Πιστωτικό Υπόλοιπο</t>
  </si>
  <si>
    <t xml:space="preserve">Έλεγχος 1: Σ.Χρέωσης = Σ.Πίστωσης</t>
  </si>
  <si>
    <t xml:space="preserve">Έλεγχος 2: Χρεωστ. Υπόλ. = Πιστωτ. Υπόλ.</t>
  </si>
  <si>
    <t xml:space="preserve">ΚΑΘΟΛΙΚΟ — μορφή «Τ»</t>
  </si>
  <si>
    <t xml:space="preserve">Κάθε λογαριασμός: αριστερά η Χρέωση, δεξιά η Πίστωση, κάτω το Υπόλοιπο (όλα αυτόματα)</t>
  </si>
  <si>
    <t xml:space="preserve">Χρέωση (+)</t>
  </si>
  <si>
    <t xml:space="preserve">Πίστωση (−)</t>
  </si>
  <si>
    <t xml:space="preserve">ΑΣΚΗΣΕΙΣ — κάνε τις εγγραφές μόνος σου</t>
  </si>
  <si>
    <t xml:space="preserve">Σκέψου: ποιος λογαριασμός χρεώνεται, ποιος πιστώνεται;  Λύσεις στο κάτω μέρος.</t>
  </si>
  <si>
    <t xml:space="preserve">1) Αγορά εμπορευμάτων αξίας 4.000 € + ΦΠΑ 24% από προμηθευτή, επί πιστώσει.</t>
  </si>
  <si>
    <t xml:space="preserve">2) Λιανική πώληση 1.000 € + ΦΠΑ 24% με μετρητά.</t>
  </si>
  <si>
    <t xml:space="preserve">3) Πληρωμή ενοικίου 600 € (χωρίς ΦΠΑ) μέσω τράπεζας.</t>
  </si>
  <si>
    <t xml:space="preserve">4) Είσπραξη 2.480 € από πελάτη στο ταμείο.</t>
  </si>
  <si>
    <t xml:space="preserve">5) Αγορά Η/Υ αξίας 1.200 € + ΦΠΑ 24%, επί πιστώσει.</t>
  </si>
  <si>
    <t xml:space="preserve">ΛΥΣΕΙΣ</t>
  </si>
  <si>
    <t xml:space="preserve">1) Χ 20.00 Εμπορεύματα 4.000 | Χ 54.00 ΦΠΑ 960  ///  Π 50.00 Προμηθευτές 4.960</t>
  </si>
  <si>
    <t xml:space="preserve">2) Χ 38.00 Ταμείο 1.240  ///  Π 70.00 Πωλήσεις 1.000 | Π 54.00 ΦΠΑ 240</t>
  </si>
  <si>
    <t xml:space="preserve">3) Χ 62.04 Ενοίκια 600  ///  Π 38.03 Καταθέσεις όψεως 600</t>
  </si>
  <si>
    <t xml:space="preserve">4) Χ 38.00 Ταμείο 2.480  ///  Π 30.00 Πελάτες 2.480</t>
  </si>
  <si>
    <t xml:space="preserve">5) Χ 14.00 Έπιπλα/εξοπλισμός 1.200 | Χ 54.00 ΦΠΑ 288  ///  Π 50.00 Προμηθευτές 1.488</t>
  </si>
  <si>
    <t xml:space="preserve">Χ = Χρέωση,  Π = Πίστωση.  Το  ///  χωρίζει τη χρεωστική από την πιστωτική πλευρά της εγγραφής.</t>
  </si>
  <si>
    <t xml:space="preserve">ΚΑΤΑΣΤΑΣΗ ΑΠΟΤΕΛΕΣΜΑΤΩΝ &amp; ΙΣΟΛΟΓΙΣΜΟΣ</t>
  </si>
  <si>
    <t xml:space="preserve">Συνδέεται ΖΩΝΤΑΝΑ με το Ισοζύγιο. Άλλαξε ποσά στο Ημερολόγιο και όλα ενημερώνονται αυτόματα.</t>
  </si>
  <si>
    <t xml:space="preserve">Α) ΚΑΤΑΣΤΑΣΗ ΑΠΟΤΕΛΕΣΜΑΤΩΝ ΧΡΗΣΗΣ</t>
  </si>
  <si>
    <t xml:space="preserve">Κωδ.</t>
  </si>
  <si>
    <t xml:space="preserve">Ποσό</t>
  </si>
  <si>
    <t xml:space="preserve">ΕΣΟΔΑ (Κύκλος εργασιών)</t>
  </si>
  <si>
    <t xml:space="preserve">Σύνολο Εσόδων</t>
  </si>
  <si>
    <t xml:space="preserve">ΕΞΟΔΑ (κατ' είδος)</t>
  </si>
  <si>
    <t xml:space="preserve">Λοιπές παροχές (ΔΕΗ/ύδρευση)</t>
  </si>
  <si>
    <t xml:space="preserve">Σύνολο Εξόδων</t>
  </si>
  <si>
    <t xml:space="preserve">ΑΠΟΤΕΛΕΣΜΑ ΧΡΗΣΗΣ (Κέρδος / Ζημία)</t>
  </si>
  <si>
    <t xml:space="preserve">(θετικό = Κέρδος · αρνητικό = Ζημία)</t>
  </si>
  <si>
    <t xml:space="preserve">Β) ΙΣΟΛΟΓΙΣΜΟΣ (τέλους χρήσης)</t>
  </si>
  <si>
    <t xml:space="preserve">ΕΝΕΡΓΗΤΙΚΟ</t>
  </si>
  <si>
    <t xml:space="preserve">ΠΑΘΗΤΙΚΟ &amp; ΚΑΘΑΡΗ ΘΕΣΗ</t>
  </si>
  <si>
    <t xml:space="preserve">Γήπεδα-Οικόπεδα</t>
  </si>
  <si>
    <t xml:space="preserve">Κτίρια</t>
  </si>
  <si>
    <t xml:space="preserve">Μηχανήματα</t>
  </si>
  <si>
    <t xml:space="preserve">Μακροπρ. υποχρεώσεις</t>
  </si>
  <si>
    <t xml:space="preserve">Έπιπλα &amp; εξοπλισμός</t>
  </si>
  <si>
    <t xml:space="preserve">Άυλα</t>
  </si>
  <si>
    <t xml:space="preserve">Αποδοχές πληρωτέες</t>
  </si>
  <si>
    <t xml:space="preserve">ΦΠΑ αποδοτέος</t>
  </si>
  <si>
    <t xml:space="preserve">Πρώτες ύλες</t>
  </si>
  <si>
    <t xml:space="preserve">ΦΜΥ</t>
  </si>
  <si>
    <t xml:space="preserve">ΕΦΚΑ</t>
  </si>
  <si>
    <t xml:space="preserve">Αποτέλεσμα χρήσης (Κέρδος/Ζημία)</t>
  </si>
  <si>
    <t xml:space="preserve">ΦΠΑ εισπρακτέος (αν χρεωστικό)</t>
  </si>
  <si>
    <t xml:space="preserve">Καταθέσεις όψεως</t>
  </si>
  <si>
    <t xml:space="preserve">ΣΥΝΟΛΟ ΕΝΕΡΓΗΤΙΚΟΥ</t>
  </si>
  <si>
    <t xml:space="preserve">ΣΥΝΟΛΟ ΠΑΘΗΤΙΚΟΥ &amp; Κ.Θ.</t>
  </si>
  <si>
    <t xml:space="preserve">Σημείωση: Το «Αποτέλεσμα χρήσης» εμφανίζεται στην πλευρά της Καθαρής Θέσης. Το κέρδος αυξάνει την Καθαρή Θέση (γι' αυτό ο Ισολογισμός ισοσκελίζει), η ζημία τη μειώνει. Ο ΦΠΑ εδώ εμφανίζεται ως καθαρό αποδοτέο υπόλοιπο (εκροών − εισροών).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</si>
</sst>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;\-#,##0.00&quot; €&quot;;&quot;&quot;"/>
    <numFmt numFmtId="166" formatCode="#,##0.00&quot; €&quot;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.5"/>
      <color rgb="FF222222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sz val="10.5"/>
      <name val="Arial"/>
      <family val="0"/>
      <charset val="1"/>
    </font>
    <font>
      <i val="true"/>
      <sz val="9.5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9.5"/>
      <name val="Arial"/>
      <family val="0"/>
      <charset val="1"/>
    </font>
    <font>
      <i val="true"/>
      <sz val="9.5"/>
      <color rgb="FF33333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i val="true"/>
      <sz val="10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6E4F0"/>
      </patternFill>
    </fill>
    <fill>
      <patternFill patternType="solid">
        <fgColor rgb="FFC6EFCE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D6E4F0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FC7CE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AF0FA"/>
        <bgColor rgb="FFEDEDED"/>
      </patternFill>
    </fill>
    <fill>
      <patternFill patternType="solid">
        <fgColor rgb="FFD6E4F0"/>
        <bgColor rgb="FFD9E1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006100"/>
      </left>
      <right style="medium">
        <color rgb="FF006100"/>
      </right>
      <top style="medium">
        <color rgb="FF006100"/>
      </top>
      <bottom style="medium">
        <color rgb="FF00610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555555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AF0FA"/>
      <rgbColor rgb="FFC6EFCE"/>
      <rgbColor rgb="FFFCE4D6"/>
      <rgbColor rgb="FFD6E4F0"/>
      <rgbColor rgb="FFFFC7CE"/>
      <rgbColor rgb="FFEDEDED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222222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3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5" t="s">
        <v>16</v>
      </c>
      <c r="B21" s="5"/>
      <c r="C21" s="5"/>
      <c r="D21" s="5"/>
      <c r="E21" s="5"/>
      <c r="F21" s="5"/>
      <c r="G21" s="5"/>
      <c r="H21" s="5"/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4" t="s">
        <v>17</v>
      </c>
    </row>
    <row r="24" customFormat="false" ht="15" hidden="false" customHeight="false" outlineLevel="0" collapsed="false">
      <c r="A24" s="6"/>
      <c r="B24" s="7" t="s">
        <v>18</v>
      </c>
      <c r="C24" s="7"/>
      <c r="D24" s="7"/>
      <c r="E24" s="7"/>
      <c r="F24" s="7"/>
      <c r="G24" s="7"/>
      <c r="H24" s="7"/>
    </row>
    <row r="25" customFormat="false" ht="15" hidden="false" customHeight="false" outlineLevel="0" collapsed="false">
      <c r="A25" s="8"/>
      <c r="B25" s="7" t="s">
        <v>19</v>
      </c>
      <c r="C25" s="7"/>
      <c r="D25" s="7"/>
      <c r="E25" s="7"/>
      <c r="F25" s="7"/>
      <c r="G25" s="7"/>
      <c r="H25" s="7"/>
    </row>
    <row r="26" customFormat="false" ht="15" hidden="false" customHeight="false" outlineLevel="0" collapsed="false">
      <c r="A26" s="9"/>
      <c r="B26" s="7" t="s">
        <v>20</v>
      </c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10"/>
      <c r="B27" s="7" t="s">
        <v>21</v>
      </c>
      <c r="C27" s="7"/>
      <c r="D27" s="7"/>
      <c r="E27" s="7"/>
      <c r="F27" s="7"/>
      <c r="G27" s="7"/>
      <c r="H27" s="7"/>
    </row>
    <row r="29" customFormat="false" ht="15" hidden="false" customHeight="false" outlineLevel="0" collapsed="false">
      <c r="A29" s="11" t="s">
        <v>22</v>
      </c>
      <c r="B29" s="11"/>
      <c r="C29" s="11"/>
      <c r="D29" s="11"/>
      <c r="E29" s="11"/>
      <c r="F29" s="11"/>
      <c r="G29" s="11"/>
      <c r="H29" s="11"/>
    </row>
  </sheetData>
  <mergeCells count="8">
    <mergeCell ref="A1:H1"/>
    <mergeCell ref="A2:H2"/>
    <mergeCell ref="A21:H21"/>
    <mergeCell ref="B24:H24"/>
    <mergeCell ref="B25:H25"/>
    <mergeCell ref="B26:H26"/>
    <mergeCell ref="B27:H27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7"/>
  </cols>
  <sheetData>
    <row r="1" customFormat="false" ht="33.75" hidden="false" customHeight="true" outlineLevel="0" collapsed="false">
      <c r="A1" s="1" t="s">
        <v>23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24</v>
      </c>
      <c r="B2" s="2"/>
      <c r="C2" s="2"/>
      <c r="D2" s="2"/>
      <c r="E2" s="2"/>
    </row>
    <row r="4" customFormat="false" ht="26.85" hidden="false" customHeight="false" outlineLevel="0" collapsed="false">
      <c r="A4" s="12" t="s">
        <v>25</v>
      </c>
      <c r="B4" s="12" t="s">
        <v>26</v>
      </c>
      <c r="C4" s="12" t="s">
        <v>27</v>
      </c>
      <c r="D4" s="12" t="s">
        <v>28</v>
      </c>
      <c r="E4" s="12" t="s">
        <v>29</v>
      </c>
    </row>
    <row r="5" customFormat="false" ht="15" hidden="false" customHeight="false" outlineLevel="0" collapsed="false">
      <c r="A5" s="13" t="s">
        <v>30</v>
      </c>
      <c r="B5" s="14" t="s">
        <v>31</v>
      </c>
      <c r="C5" s="15" t="s">
        <v>32</v>
      </c>
      <c r="D5" s="16" t="s">
        <v>33</v>
      </c>
      <c r="E5" s="17" t="s">
        <v>34</v>
      </c>
    </row>
    <row r="6" customFormat="false" ht="15" hidden="false" customHeight="false" outlineLevel="0" collapsed="false">
      <c r="A6" s="13" t="s">
        <v>35</v>
      </c>
      <c r="B6" s="14" t="s">
        <v>36</v>
      </c>
      <c r="C6" s="15" t="s">
        <v>32</v>
      </c>
      <c r="D6" s="16" t="s">
        <v>33</v>
      </c>
      <c r="E6" s="17" t="s">
        <v>34</v>
      </c>
    </row>
    <row r="7" customFormat="false" ht="15" hidden="false" customHeight="false" outlineLevel="0" collapsed="false">
      <c r="A7" s="13" t="s">
        <v>37</v>
      </c>
      <c r="B7" s="14" t="s">
        <v>38</v>
      </c>
      <c r="C7" s="15" t="s">
        <v>32</v>
      </c>
      <c r="D7" s="16" t="s">
        <v>33</v>
      </c>
      <c r="E7" s="17" t="s">
        <v>34</v>
      </c>
    </row>
    <row r="8" customFormat="false" ht="15" hidden="false" customHeight="false" outlineLevel="0" collapsed="false">
      <c r="A8" s="13" t="s">
        <v>39</v>
      </c>
      <c r="B8" s="14" t="s">
        <v>40</v>
      </c>
      <c r="C8" s="15" t="s">
        <v>32</v>
      </c>
      <c r="D8" s="16" t="s">
        <v>33</v>
      </c>
      <c r="E8" s="17" t="s">
        <v>34</v>
      </c>
    </row>
    <row r="9" customFormat="false" ht="15" hidden="false" customHeight="false" outlineLevel="0" collapsed="false">
      <c r="A9" s="13" t="s">
        <v>41</v>
      </c>
      <c r="B9" s="14" t="s">
        <v>42</v>
      </c>
      <c r="C9" s="15" t="s">
        <v>32</v>
      </c>
      <c r="D9" s="16" t="s">
        <v>33</v>
      </c>
      <c r="E9" s="17" t="s">
        <v>34</v>
      </c>
    </row>
    <row r="10" customFormat="false" ht="15" hidden="false" customHeight="false" outlineLevel="0" collapsed="false">
      <c r="A10" s="13" t="s">
        <v>43</v>
      </c>
      <c r="B10" s="14" t="s">
        <v>44</v>
      </c>
      <c r="C10" s="15" t="s">
        <v>32</v>
      </c>
      <c r="D10" s="16" t="s">
        <v>33</v>
      </c>
      <c r="E10" s="17" t="s">
        <v>34</v>
      </c>
    </row>
    <row r="11" customFormat="false" ht="15" hidden="false" customHeight="false" outlineLevel="0" collapsed="false">
      <c r="A11" s="13" t="s">
        <v>45</v>
      </c>
      <c r="B11" s="14" t="s">
        <v>46</v>
      </c>
      <c r="C11" s="15" t="s">
        <v>47</v>
      </c>
      <c r="D11" s="16" t="s">
        <v>33</v>
      </c>
      <c r="E11" s="17" t="s">
        <v>34</v>
      </c>
    </row>
    <row r="12" customFormat="false" ht="15" hidden="false" customHeight="false" outlineLevel="0" collapsed="false">
      <c r="A12" s="13" t="s">
        <v>48</v>
      </c>
      <c r="B12" s="14" t="s">
        <v>49</v>
      </c>
      <c r="C12" s="15" t="s">
        <v>47</v>
      </c>
      <c r="D12" s="16" t="s">
        <v>33</v>
      </c>
      <c r="E12" s="17" t="s">
        <v>34</v>
      </c>
    </row>
    <row r="13" customFormat="false" ht="15" hidden="false" customHeight="false" outlineLevel="0" collapsed="false">
      <c r="A13" s="13" t="s">
        <v>50</v>
      </c>
      <c r="B13" s="14" t="s">
        <v>51</v>
      </c>
      <c r="C13" s="15" t="s">
        <v>52</v>
      </c>
      <c r="D13" s="16" t="s">
        <v>33</v>
      </c>
      <c r="E13" s="17" t="s">
        <v>34</v>
      </c>
    </row>
    <row r="14" customFormat="false" ht="15" hidden="false" customHeight="false" outlineLevel="0" collapsed="false">
      <c r="A14" s="13" t="s">
        <v>53</v>
      </c>
      <c r="B14" s="14" t="s">
        <v>54</v>
      </c>
      <c r="C14" s="15" t="s">
        <v>52</v>
      </c>
      <c r="D14" s="16" t="s">
        <v>33</v>
      </c>
      <c r="E14" s="17" t="s">
        <v>34</v>
      </c>
    </row>
    <row r="15" customFormat="false" ht="15" hidden="false" customHeight="false" outlineLevel="0" collapsed="false">
      <c r="A15" s="13" t="s">
        <v>55</v>
      </c>
      <c r="B15" s="14" t="s">
        <v>56</v>
      </c>
      <c r="C15" s="15" t="s">
        <v>52</v>
      </c>
      <c r="D15" s="16" t="s">
        <v>33</v>
      </c>
      <c r="E15" s="17" t="s">
        <v>34</v>
      </c>
    </row>
    <row r="16" customFormat="false" ht="15" hidden="false" customHeight="false" outlineLevel="0" collapsed="false">
      <c r="A16" s="13" t="s">
        <v>57</v>
      </c>
      <c r="B16" s="14" t="s">
        <v>58</v>
      </c>
      <c r="C16" s="15" t="s">
        <v>52</v>
      </c>
      <c r="D16" s="16" t="s">
        <v>33</v>
      </c>
      <c r="E16" s="17" t="s">
        <v>34</v>
      </c>
    </row>
    <row r="17" customFormat="false" ht="15" hidden="false" customHeight="false" outlineLevel="0" collapsed="false">
      <c r="A17" s="13" t="s">
        <v>59</v>
      </c>
      <c r="B17" s="14" t="s">
        <v>60</v>
      </c>
      <c r="C17" s="15" t="s">
        <v>61</v>
      </c>
      <c r="D17" s="18" t="s">
        <v>62</v>
      </c>
      <c r="E17" s="17" t="s">
        <v>63</v>
      </c>
    </row>
    <row r="18" customFormat="false" ht="15" hidden="false" customHeight="false" outlineLevel="0" collapsed="false">
      <c r="A18" s="13" t="s">
        <v>64</v>
      </c>
      <c r="B18" s="14" t="s">
        <v>65</v>
      </c>
      <c r="C18" s="15" t="s">
        <v>61</v>
      </c>
      <c r="D18" s="18" t="s">
        <v>62</v>
      </c>
      <c r="E18" s="17" t="s">
        <v>63</v>
      </c>
    </row>
    <row r="19" customFormat="false" ht="15" hidden="false" customHeight="false" outlineLevel="0" collapsed="false">
      <c r="A19" s="13" t="s">
        <v>66</v>
      </c>
      <c r="B19" s="14" t="s">
        <v>67</v>
      </c>
      <c r="C19" s="15" t="s">
        <v>61</v>
      </c>
      <c r="D19" s="18" t="s">
        <v>62</v>
      </c>
      <c r="E19" s="17" t="s">
        <v>63</v>
      </c>
    </row>
    <row r="20" customFormat="false" ht="15" hidden="false" customHeight="false" outlineLevel="0" collapsed="false">
      <c r="A20" s="13" t="s">
        <v>68</v>
      </c>
      <c r="B20" s="14" t="s">
        <v>69</v>
      </c>
      <c r="C20" s="15" t="s">
        <v>61</v>
      </c>
      <c r="D20" s="19" t="s">
        <v>70</v>
      </c>
      <c r="E20" s="17" t="s">
        <v>63</v>
      </c>
    </row>
    <row r="21" customFormat="false" ht="15" hidden="false" customHeight="false" outlineLevel="0" collapsed="false">
      <c r="A21" s="13" t="s">
        <v>71</v>
      </c>
      <c r="B21" s="14" t="s">
        <v>72</v>
      </c>
      <c r="C21" s="15" t="s">
        <v>73</v>
      </c>
      <c r="D21" s="19" t="s">
        <v>70</v>
      </c>
      <c r="E21" s="17" t="s">
        <v>63</v>
      </c>
    </row>
    <row r="22" customFormat="false" ht="15" hidden="false" customHeight="false" outlineLevel="0" collapsed="false">
      <c r="A22" s="13" t="s">
        <v>74</v>
      </c>
      <c r="B22" s="14" t="s">
        <v>75</v>
      </c>
      <c r="C22" s="15" t="s">
        <v>73</v>
      </c>
      <c r="D22" s="19" t="s">
        <v>70</v>
      </c>
      <c r="E22" s="17" t="s">
        <v>63</v>
      </c>
    </row>
    <row r="23" customFormat="false" ht="15" hidden="false" customHeight="false" outlineLevel="0" collapsed="false">
      <c r="A23" s="13" t="s">
        <v>76</v>
      </c>
      <c r="B23" s="14" t="s">
        <v>77</v>
      </c>
      <c r="C23" s="15" t="s">
        <v>73</v>
      </c>
      <c r="D23" s="20" t="s">
        <v>78</v>
      </c>
      <c r="E23" s="17" t="s">
        <v>79</v>
      </c>
    </row>
    <row r="24" customFormat="false" ht="15" hidden="false" customHeight="false" outlineLevel="0" collapsed="false">
      <c r="A24" s="13" t="s">
        <v>80</v>
      </c>
      <c r="B24" s="14" t="s">
        <v>81</v>
      </c>
      <c r="C24" s="15" t="s">
        <v>73</v>
      </c>
      <c r="D24" s="19" t="s">
        <v>70</v>
      </c>
      <c r="E24" s="17" t="s">
        <v>63</v>
      </c>
    </row>
    <row r="25" customFormat="false" ht="15" hidden="false" customHeight="false" outlineLevel="0" collapsed="false">
      <c r="A25" s="13" t="s">
        <v>82</v>
      </c>
      <c r="B25" s="14" t="s">
        <v>83</v>
      </c>
      <c r="C25" s="15" t="s">
        <v>73</v>
      </c>
      <c r="D25" s="19" t="s">
        <v>70</v>
      </c>
      <c r="E25" s="17" t="s">
        <v>63</v>
      </c>
    </row>
    <row r="26" customFormat="false" ht="15" hidden="false" customHeight="false" outlineLevel="0" collapsed="false">
      <c r="A26" s="13" t="s">
        <v>84</v>
      </c>
      <c r="B26" s="14" t="s">
        <v>85</v>
      </c>
      <c r="C26" s="15" t="s">
        <v>86</v>
      </c>
      <c r="D26" s="21" t="s">
        <v>87</v>
      </c>
      <c r="E26" s="17" t="s">
        <v>34</v>
      </c>
    </row>
    <row r="27" customFormat="false" ht="15" hidden="false" customHeight="false" outlineLevel="0" collapsed="false">
      <c r="A27" s="13" t="s">
        <v>88</v>
      </c>
      <c r="B27" s="14" t="s">
        <v>89</v>
      </c>
      <c r="C27" s="15" t="s">
        <v>86</v>
      </c>
      <c r="D27" s="21" t="s">
        <v>87</v>
      </c>
      <c r="E27" s="17" t="s">
        <v>34</v>
      </c>
    </row>
    <row r="28" customFormat="false" ht="15" hidden="false" customHeight="false" outlineLevel="0" collapsed="false">
      <c r="A28" s="13" t="s">
        <v>90</v>
      </c>
      <c r="B28" s="14" t="s">
        <v>91</v>
      </c>
      <c r="C28" s="15" t="s">
        <v>86</v>
      </c>
      <c r="D28" s="21" t="s">
        <v>87</v>
      </c>
      <c r="E28" s="17" t="s">
        <v>34</v>
      </c>
    </row>
    <row r="29" customFormat="false" ht="15" hidden="false" customHeight="false" outlineLevel="0" collapsed="false">
      <c r="A29" s="13" t="s">
        <v>92</v>
      </c>
      <c r="B29" s="14" t="s">
        <v>93</v>
      </c>
      <c r="C29" s="15" t="s">
        <v>86</v>
      </c>
      <c r="D29" s="21" t="s">
        <v>87</v>
      </c>
      <c r="E29" s="17" t="s">
        <v>34</v>
      </c>
    </row>
    <row r="30" customFormat="false" ht="15" hidden="false" customHeight="false" outlineLevel="0" collapsed="false">
      <c r="A30" s="13" t="s">
        <v>94</v>
      </c>
      <c r="B30" s="14" t="s">
        <v>95</v>
      </c>
      <c r="C30" s="15" t="s">
        <v>86</v>
      </c>
      <c r="D30" s="21" t="s">
        <v>87</v>
      </c>
      <c r="E30" s="17" t="s">
        <v>34</v>
      </c>
    </row>
    <row r="31" customFormat="false" ht="15" hidden="false" customHeight="false" outlineLevel="0" collapsed="false">
      <c r="A31" s="13" t="s">
        <v>96</v>
      </c>
      <c r="B31" s="14" t="s">
        <v>97</v>
      </c>
      <c r="C31" s="15" t="s">
        <v>86</v>
      </c>
      <c r="D31" s="21" t="s">
        <v>87</v>
      </c>
      <c r="E31" s="17" t="s">
        <v>34</v>
      </c>
    </row>
    <row r="32" customFormat="false" ht="15" hidden="false" customHeight="false" outlineLevel="0" collapsed="false">
      <c r="A32" s="13" t="s">
        <v>98</v>
      </c>
      <c r="B32" s="14" t="s">
        <v>99</v>
      </c>
      <c r="C32" s="15" t="s">
        <v>86</v>
      </c>
      <c r="D32" s="21" t="s">
        <v>87</v>
      </c>
      <c r="E32" s="17" t="s">
        <v>34</v>
      </c>
    </row>
    <row r="33" customFormat="false" ht="15" hidden="false" customHeight="false" outlineLevel="0" collapsed="false">
      <c r="A33" s="13" t="s">
        <v>100</v>
      </c>
      <c r="B33" s="14" t="s">
        <v>101</v>
      </c>
      <c r="C33" s="15" t="s">
        <v>86</v>
      </c>
      <c r="D33" s="21" t="s">
        <v>87</v>
      </c>
      <c r="E33" s="17" t="s">
        <v>34</v>
      </c>
    </row>
    <row r="34" customFormat="false" ht="15" hidden="false" customHeight="false" outlineLevel="0" collapsed="false">
      <c r="A34" s="13" t="s">
        <v>102</v>
      </c>
      <c r="B34" s="14" t="s">
        <v>103</v>
      </c>
      <c r="C34" s="15" t="s">
        <v>86</v>
      </c>
      <c r="D34" s="21" t="s">
        <v>87</v>
      </c>
      <c r="E34" s="17" t="s">
        <v>34</v>
      </c>
    </row>
    <row r="35" customFormat="false" ht="15" hidden="false" customHeight="false" outlineLevel="0" collapsed="false">
      <c r="A35" s="13" t="s">
        <v>104</v>
      </c>
      <c r="B35" s="14" t="s">
        <v>105</v>
      </c>
      <c r="C35" s="15" t="s">
        <v>106</v>
      </c>
      <c r="D35" s="18" t="s">
        <v>107</v>
      </c>
      <c r="E35" s="17" t="s">
        <v>63</v>
      </c>
    </row>
    <row r="36" customFormat="false" ht="15" hidden="false" customHeight="false" outlineLevel="0" collapsed="false">
      <c r="A36" s="13" t="s">
        <v>108</v>
      </c>
      <c r="B36" s="14" t="s">
        <v>109</v>
      </c>
      <c r="C36" s="15" t="s">
        <v>106</v>
      </c>
      <c r="D36" s="18" t="s">
        <v>107</v>
      </c>
      <c r="E36" s="17" t="s">
        <v>63</v>
      </c>
    </row>
    <row r="37" customFormat="false" ht="15" hidden="false" customHeight="false" outlineLevel="0" collapsed="false">
      <c r="A37" s="13" t="s">
        <v>110</v>
      </c>
      <c r="B37" s="14" t="s">
        <v>111</v>
      </c>
      <c r="C37" s="15" t="s">
        <v>106</v>
      </c>
      <c r="D37" s="18" t="s">
        <v>107</v>
      </c>
      <c r="E37" s="17" t="s">
        <v>63</v>
      </c>
    </row>
    <row r="38" customFormat="false" ht="15" hidden="false" customHeight="false" outlineLevel="0" collapsed="false">
      <c r="A38" s="13" t="s">
        <v>112</v>
      </c>
      <c r="B38" s="14" t="s">
        <v>113</v>
      </c>
      <c r="C38" s="15" t="s">
        <v>106</v>
      </c>
      <c r="D38" s="18" t="s">
        <v>107</v>
      </c>
      <c r="E38" s="17" t="s">
        <v>63</v>
      </c>
    </row>
    <row r="39" customFormat="false" ht="15" hidden="false" customHeight="false" outlineLevel="0" collapsed="false">
      <c r="A39" s="13" t="s">
        <v>114</v>
      </c>
      <c r="B39" s="14" t="s">
        <v>115</v>
      </c>
      <c r="C39" s="15" t="s">
        <v>116</v>
      </c>
      <c r="D39" s="22" t="s">
        <v>117</v>
      </c>
      <c r="E39" s="17" t="s">
        <v>118</v>
      </c>
    </row>
    <row r="40" customFormat="false" ht="15" hidden="false" customHeight="false" outlineLevel="0" collapsed="false">
      <c r="A40" s="13" t="s">
        <v>119</v>
      </c>
      <c r="B40" s="14" t="s">
        <v>120</v>
      </c>
      <c r="C40" s="15" t="s">
        <v>116</v>
      </c>
      <c r="D40" s="22" t="s">
        <v>117</v>
      </c>
      <c r="E40" s="17" t="s">
        <v>118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8" min="7" style="0" width="14"/>
  </cols>
  <sheetData>
    <row r="1" customFormat="false" ht="33.7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122</v>
      </c>
      <c r="B2" s="2"/>
      <c r="C2" s="2"/>
      <c r="D2" s="2"/>
      <c r="E2" s="2"/>
      <c r="F2" s="2"/>
      <c r="G2" s="2"/>
      <c r="H2" s="2"/>
    </row>
    <row r="4" customFormat="false" ht="39.55" hidden="false" customHeight="false" outlineLevel="0" collapsed="false">
      <c r="A4" s="12" t="s">
        <v>123</v>
      </c>
      <c r="B4" s="12" t="s">
        <v>124</v>
      </c>
      <c r="C4" s="12" t="s">
        <v>125</v>
      </c>
      <c r="D4" s="12" t="s">
        <v>126</v>
      </c>
      <c r="E4" s="12" t="s">
        <v>127</v>
      </c>
      <c r="F4" s="12" t="s">
        <v>128</v>
      </c>
      <c r="G4" s="12" t="s">
        <v>129</v>
      </c>
      <c r="H4" s="12" t="s">
        <v>130</v>
      </c>
    </row>
    <row r="5" customFormat="false" ht="15" hidden="false" customHeight="false" outlineLevel="0" collapsed="false">
      <c r="A5" s="23" t="n">
        <v>1</v>
      </c>
      <c r="B5" s="24" t="s">
        <v>131</v>
      </c>
      <c r="C5" s="25" t="s">
        <v>118</v>
      </c>
      <c r="D5" s="26" t="s">
        <v>132</v>
      </c>
      <c r="E5" s="27" t="s">
        <v>55</v>
      </c>
      <c r="F5" s="28" t="str">
        <f aca="false">IFERROR(INDEX('Σχέδιο Λογαριασμών'!$B$5:$B$40,MATCH(E5,'Σχέδιο Λογαριασμών'!$A$5:$A$40,0)),"")</f>
        <v>Ταμείο</v>
      </c>
      <c r="G5" s="29" t="n">
        <v>5000</v>
      </c>
      <c r="H5" s="29"/>
    </row>
    <row r="6" customFormat="false" ht="15" hidden="false" customHeight="false" outlineLevel="0" collapsed="false">
      <c r="A6" s="23"/>
      <c r="B6" s="24"/>
      <c r="C6" s="25"/>
      <c r="D6" s="26"/>
      <c r="E6" s="27" t="s">
        <v>57</v>
      </c>
      <c r="F6" s="28" t="str">
        <f aca="false">IFERROR(INDEX('Σχέδιο Λογαριασμών'!$B$5:$B$40,MATCH(E6,'Σχέδιο Λογαριασμών'!$A$5:$A$40,0)),"")</f>
        <v>Καταθέσεις όψεως (Τράπεζα)</v>
      </c>
      <c r="G6" s="29" t="n">
        <v>20000</v>
      </c>
      <c r="H6" s="29"/>
    </row>
    <row r="7" customFormat="false" ht="15" hidden="false" customHeight="false" outlineLevel="0" collapsed="false">
      <c r="A7" s="23"/>
      <c r="B7" s="24"/>
      <c r="C7" s="25"/>
      <c r="D7" s="26"/>
      <c r="E7" s="27" t="s">
        <v>59</v>
      </c>
      <c r="F7" s="28" t="str">
        <f aca="false">IFERROR(INDEX('Σχέδιο Λογαριασμών'!$B$5:$B$40,MATCH(E7,'Σχέδιο Λογαριασμών'!$A$5:$A$40,0)),"")</f>
        <v>Κεφάλαιο</v>
      </c>
      <c r="G7" s="29"/>
      <c r="H7" s="29" t="n">
        <v>25000</v>
      </c>
    </row>
    <row r="8" customFormat="false" ht="15" hidden="false" customHeight="false" outlineLevel="0" collapsed="false">
      <c r="A8" s="23" t="n">
        <v>2</v>
      </c>
      <c r="B8" s="24" t="s">
        <v>133</v>
      </c>
      <c r="C8" s="25" t="s">
        <v>134</v>
      </c>
      <c r="D8" s="26" t="s">
        <v>135</v>
      </c>
      <c r="E8" s="27" t="s">
        <v>41</v>
      </c>
      <c r="F8" s="28" t="str">
        <f aca="false">IFERROR(INDEX('Σχέδιο Λογαριασμών'!$B$5:$B$40,MATCH(E8,'Σχέδιο Λογαριασμών'!$A$5:$A$40,0)),"")</f>
        <v>Έπιπλα και λοιπός εξοπλισμός</v>
      </c>
      <c r="G8" s="29" t="n">
        <v>2000</v>
      </c>
      <c r="H8" s="29"/>
    </row>
    <row r="9" customFormat="false" ht="15" hidden="false" customHeight="false" outlineLevel="0" collapsed="false">
      <c r="A9" s="23"/>
      <c r="B9" s="24"/>
      <c r="C9" s="25"/>
      <c r="D9" s="26"/>
      <c r="E9" s="27" t="s">
        <v>76</v>
      </c>
      <c r="F9" s="28" t="str">
        <f aca="false">IFERROR(INDEX('Σχέδιο Λογαριασμών'!$B$5:$B$40,MATCH(E9,'Σχέδιο Λογαριασμών'!$A$5:$A$40,0)),"")</f>
        <v>Φ.Π.Α.</v>
      </c>
      <c r="G9" s="29" t="n">
        <v>480</v>
      </c>
      <c r="H9" s="29"/>
    </row>
    <row r="10" customFormat="false" ht="15" hidden="false" customHeight="false" outlineLevel="0" collapsed="false">
      <c r="A10" s="23"/>
      <c r="B10" s="24"/>
      <c r="C10" s="25"/>
      <c r="D10" s="26"/>
      <c r="E10" s="27" t="s">
        <v>71</v>
      </c>
      <c r="F10" s="28" t="str">
        <f aca="false">IFERROR(INDEX('Σχέδιο Λογαριασμών'!$B$5:$B$40,MATCH(E10,'Σχέδιο Λογαριασμών'!$A$5:$A$40,0)),"")</f>
        <v>Προμηθευτές</v>
      </c>
      <c r="G10" s="29"/>
      <c r="H10" s="29" t="n">
        <v>2480</v>
      </c>
    </row>
    <row r="11" customFormat="false" ht="15" hidden="false" customHeight="false" outlineLevel="0" collapsed="false">
      <c r="A11" s="23" t="n">
        <v>3</v>
      </c>
      <c r="B11" s="24" t="s">
        <v>136</v>
      </c>
      <c r="C11" s="25" t="s">
        <v>137</v>
      </c>
      <c r="D11" s="26" t="s">
        <v>138</v>
      </c>
      <c r="E11" s="27" t="s">
        <v>45</v>
      </c>
      <c r="F11" s="28" t="str">
        <f aca="false">IFERROR(INDEX('Σχέδιο Λογαριασμών'!$B$5:$B$40,MATCH(E11,'Σχέδιο Λογαριασμών'!$A$5:$A$40,0)),"")</f>
        <v>Εμπορεύματα</v>
      </c>
      <c r="G11" s="29" t="n">
        <v>10000</v>
      </c>
      <c r="H11" s="29"/>
    </row>
    <row r="12" customFormat="false" ht="15" hidden="false" customHeight="false" outlineLevel="0" collapsed="false">
      <c r="A12" s="23"/>
      <c r="B12" s="24"/>
      <c r="C12" s="25"/>
      <c r="D12" s="26"/>
      <c r="E12" s="27" t="s">
        <v>76</v>
      </c>
      <c r="F12" s="28" t="str">
        <f aca="false">IFERROR(INDEX('Σχέδιο Λογαριασμών'!$B$5:$B$40,MATCH(E12,'Σχέδιο Λογαριασμών'!$A$5:$A$40,0)),"")</f>
        <v>Φ.Π.Α.</v>
      </c>
      <c r="G12" s="29" t="n">
        <v>2400</v>
      </c>
      <c r="H12" s="29"/>
    </row>
    <row r="13" customFormat="false" ht="15" hidden="false" customHeight="false" outlineLevel="0" collapsed="false">
      <c r="A13" s="23"/>
      <c r="B13" s="24"/>
      <c r="C13" s="25"/>
      <c r="D13" s="26"/>
      <c r="E13" s="27" t="s">
        <v>71</v>
      </c>
      <c r="F13" s="28" t="str">
        <f aca="false">IFERROR(INDEX('Σχέδιο Λογαριασμών'!$B$5:$B$40,MATCH(E13,'Σχέδιο Λογαριασμών'!$A$5:$A$40,0)),"")</f>
        <v>Προμηθευτές</v>
      </c>
      <c r="G13" s="29"/>
      <c r="H13" s="29" t="n">
        <v>12400</v>
      </c>
    </row>
    <row r="14" customFormat="false" ht="15" hidden="false" customHeight="false" outlineLevel="0" collapsed="false">
      <c r="A14" s="23" t="n">
        <v>4</v>
      </c>
      <c r="B14" s="24" t="s">
        <v>139</v>
      </c>
      <c r="C14" s="25" t="s">
        <v>140</v>
      </c>
      <c r="D14" s="26" t="s">
        <v>141</v>
      </c>
      <c r="E14" s="27" t="s">
        <v>50</v>
      </c>
      <c r="F14" s="28" t="str">
        <f aca="false">IFERROR(INDEX('Σχέδιο Λογαριασμών'!$B$5:$B$40,MATCH(E14,'Σχέδιο Λογαριασμών'!$A$5:$A$40,0)),"")</f>
        <v>Πελάτες</v>
      </c>
      <c r="G14" s="29" t="n">
        <v>9920</v>
      </c>
      <c r="H14" s="29"/>
    </row>
    <row r="15" customFormat="false" ht="15" hidden="false" customHeight="false" outlineLevel="0" collapsed="false">
      <c r="A15" s="23"/>
      <c r="B15" s="24"/>
      <c r="C15" s="25"/>
      <c r="D15" s="26"/>
      <c r="E15" s="27" t="s">
        <v>104</v>
      </c>
      <c r="F15" s="28" t="str">
        <f aca="false">IFERROR(INDEX('Σχέδιο Λογαριασμών'!$B$5:$B$40,MATCH(E15,'Σχέδιο Λογαριασμών'!$A$5:$A$40,0)),"")</f>
        <v>Πωλήσεις εμπορευμάτων</v>
      </c>
      <c r="G15" s="29"/>
      <c r="H15" s="29" t="n">
        <v>8000</v>
      </c>
    </row>
    <row r="16" customFormat="false" ht="15" hidden="false" customHeight="false" outlineLevel="0" collapsed="false">
      <c r="A16" s="23"/>
      <c r="B16" s="24"/>
      <c r="C16" s="25"/>
      <c r="D16" s="26"/>
      <c r="E16" s="27" t="s">
        <v>76</v>
      </c>
      <c r="F16" s="28" t="str">
        <f aca="false">IFERROR(INDEX('Σχέδιο Λογαριασμών'!$B$5:$B$40,MATCH(E16,'Σχέδιο Λογαριασμών'!$A$5:$A$40,0)),"")</f>
        <v>Φ.Π.Α.</v>
      </c>
      <c r="G16" s="29"/>
      <c r="H16" s="29" t="n">
        <v>1920</v>
      </c>
    </row>
    <row r="17" customFormat="false" ht="15" hidden="false" customHeight="false" outlineLevel="0" collapsed="false">
      <c r="A17" s="23" t="n">
        <v>5</v>
      </c>
      <c r="B17" s="24" t="s">
        <v>142</v>
      </c>
      <c r="C17" s="25" t="s">
        <v>143</v>
      </c>
      <c r="D17" s="26" t="s">
        <v>144</v>
      </c>
      <c r="E17" s="27" t="s">
        <v>55</v>
      </c>
      <c r="F17" s="28" t="str">
        <f aca="false">IFERROR(INDEX('Σχέδιο Λογαριασμών'!$B$5:$B$40,MATCH(E17,'Σχέδιο Λογαριασμών'!$A$5:$A$40,0)),"")</f>
        <v>Ταμείο</v>
      </c>
      <c r="G17" s="29" t="n">
        <v>3720</v>
      </c>
      <c r="H17" s="29"/>
    </row>
    <row r="18" customFormat="false" ht="15" hidden="false" customHeight="false" outlineLevel="0" collapsed="false">
      <c r="A18" s="23"/>
      <c r="B18" s="24"/>
      <c r="C18" s="25"/>
      <c r="D18" s="26"/>
      <c r="E18" s="27" t="s">
        <v>104</v>
      </c>
      <c r="F18" s="28" t="str">
        <f aca="false">IFERROR(INDEX('Σχέδιο Λογαριασμών'!$B$5:$B$40,MATCH(E18,'Σχέδιο Λογαριασμών'!$A$5:$A$40,0)),"")</f>
        <v>Πωλήσεις εμπορευμάτων</v>
      </c>
      <c r="G18" s="29"/>
      <c r="H18" s="29" t="n">
        <v>3000</v>
      </c>
    </row>
    <row r="19" customFormat="false" ht="15" hidden="false" customHeight="false" outlineLevel="0" collapsed="false">
      <c r="A19" s="23"/>
      <c r="B19" s="24"/>
      <c r="C19" s="25"/>
      <c r="D19" s="26"/>
      <c r="E19" s="27" t="s">
        <v>76</v>
      </c>
      <c r="F19" s="28" t="str">
        <f aca="false">IFERROR(INDEX('Σχέδιο Λογαριασμών'!$B$5:$B$40,MATCH(E19,'Σχέδιο Λογαριασμών'!$A$5:$A$40,0)),"")</f>
        <v>Φ.Π.Α.</v>
      </c>
      <c r="G19" s="29"/>
      <c r="H19" s="29" t="n">
        <v>720</v>
      </c>
    </row>
    <row r="20" customFormat="false" ht="15" hidden="false" customHeight="false" outlineLevel="0" collapsed="false">
      <c r="A20" s="23" t="n">
        <v>6</v>
      </c>
      <c r="B20" s="24" t="s">
        <v>145</v>
      </c>
      <c r="C20" s="25" t="s">
        <v>146</v>
      </c>
      <c r="D20" s="26" t="s">
        <v>147</v>
      </c>
      <c r="E20" s="27" t="s">
        <v>71</v>
      </c>
      <c r="F20" s="28" t="str">
        <f aca="false">IFERROR(INDEX('Σχέδιο Λογαριασμών'!$B$5:$B$40,MATCH(E20,'Σχέδιο Λογαριασμών'!$A$5:$A$40,0)),"")</f>
        <v>Προμηθευτές</v>
      </c>
      <c r="G20" s="29" t="n">
        <v>12400</v>
      </c>
      <c r="H20" s="29"/>
    </row>
    <row r="21" customFormat="false" ht="15" hidden="false" customHeight="false" outlineLevel="0" collapsed="false">
      <c r="A21" s="23"/>
      <c r="B21" s="24"/>
      <c r="C21" s="25"/>
      <c r="D21" s="26"/>
      <c r="E21" s="27" t="s">
        <v>57</v>
      </c>
      <c r="F21" s="28" t="str">
        <f aca="false">IFERROR(INDEX('Σχέδιο Λογαριασμών'!$B$5:$B$40,MATCH(E21,'Σχέδιο Λογαριασμών'!$A$5:$A$40,0)),"")</f>
        <v>Καταθέσεις όψεως (Τράπεζα)</v>
      </c>
      <c r="G21" s="29"/>
      <c r="H21" s="29" t="n">
        <v>12400</v>
      </c>
    </row>
    <row r="22" customFormat="false" ht="15" hidden="false" customHeight="false" outlineLevel="0" collapsed="false">
      <c r="A22" s="23" t="n">
        <v>7</v>
      </c>
      <c r="B22" s="24" t="s">
        <v>148</v>
      </c>
      <c r="C22" s="25" t="s">
        <v>146</v>
      </c>
      <c r="D22" s="26" t="s">
        <v>149</v>
      </c>
      <c r="E22" s="27" t="s">
        <v>57</v>
      </c>
      <c r="F22" s="28" t="str">
        <f aca="false">IFERROR(INDEX('Σχέδιο Λογαριασμών'!$B$5:$B$40,MATCH(E22,'Σχέδιο Λογαριασμών'!$A$5:$A$40,0)),"")</f>
        <v>Καταθέσεις όψεως (Τράπεζα)</v>
      </c>
      <c r="G22" s="29" t="n">
        <v>9920</v>
      </c>
      <c r="H22" s="29"/>
    </row>
    <row r="23" customFormat="false" ht="15" hidden="false" customHeight="false" outlineLevel="0" collapsed="false">
      <c r="A23" s="23"/>
      <c r="B23" s="24"/>
      <c r="C23" s="25"/>
      <c r="D23" s="26"/>
      <c r="E23" s="27" t="s">
        <v>50</v>
      </c>
      <c r="F23" s="28" t="str">
        <f aca="false">IFERROR(INDEX('Σχέδιο Λογαριασμών'!$B$5:$B$40,MATCH(E23,'Σχέδιο Λογαριασμών'!$A$5:$A$40,0)),"")</f>
        <v>Πελάτες</v>
      </c>
      <c r="G23" s="29"/>
      <c r="H23" s="29" t="n">
        <v>9920</v>
      </c>
    </row>
    <row r="24" customFormat="false" ht="15" hidden="false" customHeight="false" outlineLevel="0" collapsed="false">
      <c r="A24" s="23" t="n">
        <v>8</v>
      </c>
      <c r="B24" s="24" t="s">
        <v>150</v>
      </c>
      <c r="C24" s="25" t="s">
        <v>151</v>
      </c>
      <c r="D24" s="26" t="s">
        <v>152</v>
      </c>
      <c r="E24" s="27" t="s">
        <v>94</v>
      </c>
      <c r="F24" s="28" t="str">
        <f aca="false">IFERROR(INDEX('Σχέδιο Λογαριασμών'!$B$5:$B$40,MATCH(E24,'Σχέδιο Λογαριασμών'!$A$5:$A$40,0)),"")</f>
        <v>Ενοίκια</v>
      </c>
      <c r="G24" s="29" t="n">
        <v>800</v>
      </c>
      <c r="H24" s="29"/>
    </row>
    <row r="25" customFormat="false" ht="15" hidden="false" customHeight="false" outlineLevel="0" collapsed="false">
      <c r="A25" s="23"/>
      <c r="B25" s="24"/>
      <c r="C25" s="25"/>
      <c r="D25" s="26"/>
      <c r="E25" s="27" t="s">
        <v>55</v>
      </c>
      <c r="F25" s="28" t="str">
        <f aca="false">IFERROR(INDEX('Σχέδιο Λογαριασμών'!$B$5:$B$40,MATCH(E25,'Σχέδιο Λογαριασμών'!$A$5:$A$40,0)),"")</f>
        <v>Ταμείο</v>
      </c>
      <c r="G25" s="29"/>
      <c r="H25" s="29" t="n">
        <v>800</v>
      </c>
    </row>
    <row r="26" customFormat="false" ht="15" hidden="false" customHeight="false" outlineLevel="0" collapsed="false">
      <c r="A26" s="23" t="n">
        <v>9</v>
      </c>
      <c r="B26" s="24" t="s">
        <v>153</v>
      </c>
      <c r="C26" s="25" t="s">
        <v>154</v>
      </c>
      <c r="D26" s="26" t="s">
        <v>155</v>
      </c>
      <c r="E26" s="27" t="s">
        <v>96</v>
      </c>
      <c r="F26" s="28" t="str">
        <f aca="false">IFERROR(INDEX('Σχέδιο Λογαριασμών'!$B$5:$B$40,MATCH(E26,'Σχέδιο Λογαριασμών'!$A$5:$A$40,0)),"")</f>
        <v>Λοιπές παροχές τρίτων (ΔΕΗ, ύδρευση)</v>
      </c>
      <c r="G26" s="29" t="n">
        <v>500</v>
      </c>
      <c r="H26" s="29"/>
    </row>
    <row r="27" customFormat="false" ht="15" hidden="false" customHeight="false" outlineLevel="0" collapsed="false">
      <c r="A27" s="23"/>
      <c r="B27" s="24"/>
      <c r="C27" s="25"/>
      <c r="D27" s="26"/>
      <c r="E27" s="27" t="s">
        <v>76</v>
      </c>
      <c r="F27" s="28" t="str">
        <f aca="false">IFERROR(INDEX('Σχέδιο Λογαριασμών'!$B$5:$B$40,MATCH(E27,'Σχέδιο Λογαριασμών'!$A$5:$A$40,0)),"")</f>
        <v>Φ.Π.Α.</v>
      </c>
      <c r="G27" s="29" t="n">
        <v>120</v>
      </c>
      <c r="H27" s="29"/>
    </row>
    <row r="28" customFormat="false" ht="15" hidden="false" customHeight="false" outlineLevel="0" collapsed="false">
      <c r="A28" s="23"/>
      <c r="B28" s="24"/>
      <c r="C28" s="25"/>
      <c r="D28" s="26"/>
      <c r="E28" s="27" t="s">
        <v>71</v>
      </c>
      <c r="F28" s="28" t="str">
        <f aca="false">IFERROR(INDEX('Σχέδιο Λογαριασμών'!$B$5:$B$40,MATCH(E28,'Σχέδιο Λογαριασμών'!$A$5:$A$40,0)),"")</f>
        <v>Προμηθευτές</v>
      </c>
      <c r="G28" s="29"/>
      <c r="H28" s="29" t="n">
        <v>620</v>
      </c>
    </row>
    <row r="29" customFormat="false" ht="15" hidden="false" customHeight="false" outlineLevel="0" collapsed="false">
      <c r="A29" s="23" t="n">
        <v>10</v>
      </c>
      <c r="B29" s="24" t="s">
        <v>156</v>
      </c>
      <c r="C29" s="25" t="s">
        <v>157</v>
      </c>
      <c r="D29" s="26" t="s">
        <v>158</v>
      </c>
      <c r="E29" s="27" t="s">
        <v>92</v>
      </c>
      <c r="F29" s="28" t="str">
        <f aca="false">IFERROR(INDEX('Σχέδιο Λογαριασμών'!$B$5:$B$40,MATCH(E29,'Σχέδιο Λογαριασμών'!$A$5:$A$40,0)),"")</f>
        <v>Τηλεπικοινωνίες</v>
      </c>
      <c r="G29" s="29" t="n">
        <v>100</v>
      </c>
      <c r="H29" s="29"/>
    </row>
    <row r="30" customFormat="false" ht="15" hidden="false" customHeight="false" outlineLevel="0" collapsed="false">
      <c r="A30" s="23"/>
      <c r="B30" s="24"/>
      <c r="C30" s="25"/>
      <c r="D30" s="26"/>
      <c r="E30" s="27" t="s">
        <v>76</v>
      </c>
      <c r="F30" s="28" t="str">
        <f aca="false">IFERROR(INDEX('Σχέδιο Λογαριασμών'!$B$5:$B$40,MATCH(E30,'Σχέδιο Λογαριασμών'!$A$5:$A$40,0)),"")</f>
        <v>Φ.Π.Α.</v>
      </c>
      <c r="G30" s="29" t="n">
        <v>24</v>
      </c>
      <c r="H30" s="29"/>
    </row>
    <row r="31" customFormat="false" ht="15" hidden="false" customHeight="false" outlineLevel="0" collapsed="false">
      <c r="A31" s="23"/>
      <c r="B31" s="24"/>
      <c r="C31" s="25"/>
      <c r="D31" s="26"/>
      <c r="E31" s="27" t="s">
        <v>55</v>
      </c>
      <c r="F31" s="28" t="str">
        <f aca="false">IFERROR(INDEX('Σχέδιο Λογαριασμών'!$B$5:$B$40,MATCH(E31,'Σχέδιο Λογαριασμών'!$A$5:$A$40,0)),"")</f>
        <v>Ταμείο</v>
      </c>
      <c r="G31" s="29"/>
      <c r="H31" s="29" t="n">
        <v>124</v>
      </c>
    </row>
    <row r="32" customFormat="false" ht="15" hidden="false" customHeight="false" outlineLevel="0" collapsed="false">
      <c r="A32" s="23" t="n">
        <v>11</v>
      </c>
      <c r="B32" s="24" t="s">
        <v>159</v>
      </c>
      <c r="C32" s="25" t="s">
        <v>160</v>
      </c>
      <c r="D32" s="26" t="s">
        <v>161</v>
      </c>
      <c r="E32" s="27" t="s">
        <v>84</v>
      </c>
      <c r="F32" s="28" t="str">
        <f aca="false">IFERROR(INDEX('Σχέδιο Λογαριασμών'!$B$5:$B$40,MATCH(E32,'Σχέδιο Λογαριασμών'!$A$5:$A$40,0)),"")</f>
        <v>Αμοιβές έμμισθου προσωπικού</v>
      </c>
      <c r="G32" s="29" t="n">
        <v>1500</v>
      </c>
      <c r="H32" s="29"/>
    </row>
    <row r="33" customFormat="false" ht="15" hidden="false" customHeight="false" outlineLevel="0" collapsed="false">
      <c r="A33" s="23"/>
      <c r="B33" s="24"/>
      <c r="C33" s="25"/>
      <c r="D33" s="26"/>
      <c r="E33" s="27" t="s">
        <v>88</v>
      </c>
      <c r="F33" s="28" t="str">
        <f aca="false">IFERROR(INDEX('Σχέδιο Λογαριασμών'!$B$5:$B$40,MATCH(E33,'Σχέδιο Λογαριασμών'!$A$5:$A$40,0)),"")</f>
        <v>Εργοδοτικές εισφορές</v>
      </c>
      <c r="G33" s="29" t="n">
        <v>300</v>
      </c>
      <c r="H33" s="29"/>
    </row>
    <row r="34" customFormat="false" ht="15" hidden="false" customHeight="false" outlineLevel="0" collapsed="false">
      <c r="A34" s="23"/>
      <c r="B34" s="24"/>
      <c r="C34" s="25"/>
      <c r="D34" s="26"/>
      <c r="E34" s="27" t="s">
        <v>82</v>
      </c>
      <c r="F34" s="28" t="str">
        <f aca="false">IFERROR(INDEX('Σχέδιο Λογαριασμών'!$B$5:$B$40,MATCH(E34,'Σχέδιο Λογαριασμών'!$A$5:$A$40,0)),"")</f>
        <v>Ασφαλιστικοί οργανισμοί (ΕΦΚΑ)</v>
      </c>
      <c r="G34" s="29"/>
      <c r="H34" s="29" t="n">
        <v>500</v>
      </c>
    </row>
    <row r="35" customFormat="false" ht="15" hidden="false" customHeight="false" outlineLevel="0" collapsed="false">
      <c r="A35" s="23"/>
      <c r="B35" s="24"/>
      <c r="C35" s="25"/>
      <c r="D35" s="26"/>
      <c r="E35" s="27" t="s">
        <v>74</v>
      </c>
      <c r="F35" s="28" t="str">
        <f aca="false">IFERROR(INDEX('Σχέδιο Λογαριασμών'!$B$5:$B$40,MATCH(E35,'Σχέδιο Λογαριασμών'!$A$5:$A$40,0)),"")</f>
        <v>Αποδοχές προσωπικού πληρωτέες</v>
      </c>
      <c r="G35" s="29"/>
      <c r="H35" s="29" t="n">
        <v>1300</v>
      </c>
    </row>
    <row r="36" customFormat="false" ht="15" hidden="false" customHeight="false" outlineLevel="0" collapsed="false">
      <c r="A36" s="30" t="n">
        <v>12</v>
      </c>
      <c r="B36" s="30" t="s">
        <v>159</v>
      </c>
      <c r="C36" s="30" t="s">
        <v>162</v>
      </c>
      <c r="D36" s="31" t="s">
        <v>163</v>
      </c>
      <c r="E36" s="32" t="s">
        <v>102</v>
      </c>
      <c r="F36" s="31" t="str">
        <f aca="false">IFERROR(INDEX('Σχέδιο Λογαριασμών'!$B$5:$B$40,MATCH(E36,'Σχέδιο Λογαριασμών'!$A$5:$A$40,0)),"")</f>
        <v>Αποσβέσεις παγίων</v>
      </c>
      <c r="G36" s="33" t="n">
        <v>33.33</v>
      </c>
      <c r="H36" s="33"/>
    </row>
    <row r="37" customFormat="false" ht="15" hidden="false" customHeight="false" outlineLevel="0" collapsed="false">
      <c r="A37" s="23"/>
      <c r="B37" s="24"/>
      <c r="C37" s="25"/>
      <c r="D37" s="26"/>
      <c r="E37" s="32" t="s">
        <v>41</v>
      </c>
      <c r="F37" s="31" t="str">
        <f aca="false">IFERROR(INDEX('Σχέδιο Λογαριασμών'!$B$5:$B$40,MATCH(E37,'Σχέδιο Λογαριασμών'!$A$5:$A$40,0)),"")</f>
        <v>Έπιπλα και λοιπός εξοπλισμός</v>
      </c>
      <c r="G37" s="33"/>
      <c r="H37" s="33" t="n">
        <v>33.33</v>
      </c>
    </row>
    <row r="38" customFormat="false" ht="15" hidden="false" customHeight="false" outlineLevel="0" collapsed="false">
      <c r="A38" s="30" t="n">
        <v>13</v>
      </c>
      <c r="B38" s="30" t="s">
        <v>159</v>
      </c>
      <c r="C38" s="30" t="s">
        <v>143</v>
      </c>
      <c r="D38" s="31" t="s">
        <v>164</v>
      </c>
      <c r="E38" s="32" t="s">
        <v>55</v>
      </c>
      <c r="F38" s="31" t="str">
        <f aca="false">IFERROR(INDEX('Σχέδιο Λογαριασμών'!$B$5:$B$40,MATCH(E38,'Σχέδιο Λογαριασμών'!$A$5:$A$40,0)),"")</f>
        <v>Ταμείο</v>
      </c>
      <c r="G38" s="33" t="n">
        <v>1240</v>
      </c>
      <c r="H38" s="33"/>
    </row>
    <row r="39" customFormat="false" ht="15" hidden="false" customHeight="false" outlineLevel="0" collapsed="false">
      <c r="A39" s="23"/>
      <c r="B39" s="24"/>
      <c r="C39" s="25"/>
      <c r="D39" s="26"/>
      <c r="E39" s="32" t="s">
        <v>104</v>
      </c>
      <c r="F39" s="31" t="str">
        <f aca="false">IFERROR(INDEX('Σχέδιο Λογαριασμών'!$B$5:$B$40,MATCH(E39,'Σχέδιο Λογαριασμών'!$A$5:$A$40,0)),"")</f>
        <v>Πωλήσεις εμπορευμάτων</v>
      </c>
      <c r="G39" s="33"/>
      <c r="H39" s="33" t="n">
        <v>1000</v>
      </c>
    </row>
    <row r="40" customFormat="false" ht="15" hidden="false" customHeight="false" outlineLevel="0" collapsed="false">
      <c r="A40" s="23"/>
      <c r="B40" s="24"/>
      <c r="C40" s="25"/>
      <c r="D40" s="26"/>
      <c r="E40" s="32" t="s">
        <v>76</v>
      </c>
      <c r="F40" s="31" t="str">
        <f aca="false">IFERROR(INDEX('Σχέδιο Λογαριασμών'!$B$5:$B$40,MATCH(E40,'Σχέδιο Λογαριασμών'!$A$5:$A$40,0)),"")</f>
        <v>Φ.Π.Α.</v>
      </c>
      <c r="G40" s="33"/>
      <c r="H40" s="33" t="n">
        <v>240</v>
      </c>
    </row>
    <row r="41" customFormat="false" ht="15" hidden="false" customHeight="false" outlineLevel="0" collapsed="false">
      <c r="A41" s="30" t="n">
        <v>14</v>
      </c>
      <c r="B41" s="30" t="s">
        <v>165</v>
      </c>
      <c r="C41" s="30" t="s">
        <v>146</v>
      </c>
      <c r="D41" s="31" t="s">
        <v>166</v>
      </c>
      <c r="E41" s="32" t="s">
        <v>74</v>
      </c>
      <c r="F41" s="31" t="str">
        <f aca="false">IFERROR(INDEX('Σχέδιο Λογαριασμών'!$B$5:$B$40,MATCH(E41,'Σχέδιο Λογαριασμών'!$A$5:$A$40,0)),"")</f>
        <v>Αποδοχές προσωπικού πληρωτέες</v>
      </c>
      <c r="G41" s="33" t="n">
        <v>1300</v>
      </c>
      <c r="H41" s="33"/>
    </row>
    <row r="42" customFormat="false" ht="15" hidden="false" customHeight="false" outlineLevel="0" collapsed="false">
      <c r="A42" s="23"/>
      <c r="B42" s="24"/>
      <c r="C42" s="25"/>
      <c r="D42" s="26"/>
      <c r="E42" s="32" t="s">
        <v>57</v>
      </c>
      <c r="F42" s="31" t="str">
        <f aca="false">IFERROR(INDEX('Σχέδιο Λογαριασμών'!$B$5:$B$40,MATCH(E42,'Σχέδιο Λογαριασμών'!$A$5:$A$40,0)),"")</f>
        <v>Καταθέσεις όψεως (Τράπεζα)</v>
      </c>
      <c r="G42" s="33"/>
      <c r="H42" s="33" t="n">
        <v>1300</v>
      </c>
    </row>
    <row r="43" customFormat="false" ht="15" hidden="false" customHeight="false" outlineLevel="0" collapsed="false">
      <c r="A43" s="23"/>
      <c r="B43" s="24"/>
      <c r="C43" s="25"/>
      <c r="D43" s="26"/>
      <c r="E43" s="27"/>
      <c r="F43" s="28" t="str">
        <f aca="false">IFERROR(INDEX('Σχέδιο Λογαριασμών'!$B$5:$B$40,MATCH(E43,'Σχέδιο Λογαριασμών'!$A$5:$A$40,0)),"")</f>
        <v/>
      </c>
      <c r="G43" s="29"/>
      <c r="H43" s="29"/>
    </row>
    <row r="44" customFormat="false" ht="15" hidden="false" customHeight="false" outlineLevel="0" collapsed="false">
      <c r="A44" s="23"/>
      <c r="B44" s="24"/>
      <c r="C44" s="25"/>
      <c r="D44" s="26"/>
      <c r="E44" s="27"/>
      <c r="F44" s="28" t="str">
        <f aca="false">IFERROR(INDEX('Σχέδιο Λογαριασμών'!$B$5:$B$40,MATCH(E44,'Σχέδιο Λογαριασμών'!$A$5:$A$40,0)),"")</f>
        <v/>
      </c>
      <c r="G44" s="29"/>
      <c r="H44" s="29"/>
    </row>
    <row r="45" customFormat="false" ht="15" hidden="false" customHeight="false" outlineLevel="0" collapsed="false">
      <c r="A45" s="23"/>
      <c r="B45" s="24"/>
      <c r="C45" s="25"/>
      <c r="D45" s="26"/>
      <c r="E45" s="27"/>
      <c r="F45" s="28" t="str">
        <f aca="false">IFERROR(INDEX('Σχέδιο Λογαριασμών'!$B$5:$B$40,MATCH(E45,'Σχέδιο Λογαριασμών'!$A$5:$A$40,0)),"")</f>
        <v/>
      </c>
      <c r="G45" s="29"/>
      <c r="H45" s="29"/>
    </row>
    <row r="46" customFormat="false" ht="15" hidden="false" customHeight="false" outlineLevel="0" collapsed="false">
      <c r="A46" s="23"/>
      <c r="B46" s="24"/>
      <c r="C46" s="25"/>
      <c r="D46" s="26"/>
      <c r="E46" s="27"/>
      <c r="F46" s="28" t="str">
        <f aca="false">IFERROR(INDEX('Σχέδιο Λογαριασμών'!$B$5:$B$40,MATCH(E46,'Σχέδιο Λογαριασμών'!$A$5:$A$40,0)),"")</f>
        <v/>
      </c>
      <c r="G46" s="29"/>
      <c r="H46" s="29"/>
    </row>
    <row r="47" customFormat="false" ht="15" hidden="false" customHeight="false" outlineLevel="0" collapsed="false">
      <c r="A47" s="23"/>
      <c r="B47" s="24"/>
      <c r="C47" s="25"/>
      <c r="D47" s="26"/>
      <c r="E47" s="27"/>
      <c r="F47" s="28" t="str">
        <f aca="false">IFERROR(INDEX('Σχέδιο Λογαριασμών'!$B$5:$B$40,MATCH(E47,'Σχέδιο Λογαριασμών'!$A$5:$A$40,0)),"")</f>
        <v/>
      </c>
      <c r="G47" s="29"/>
      <c r="H47" s="29"/>
    </row>
    <row r="48" customFormat="false" ht="15" hidden="false" customHeight="false" outlineLevel="0" collapsed="false">
      <c r="A48" s="23"/>
      <c r="B48" s="24"/>
      <c r="C48" s="25"/>
      <c r="D48" s="26"/>
      <c r="E48" s="27"/>
      <c r="F48" s="28" t="str">
        <f aca="false">IFERROR(INDEX('Σχέδιο Λογαριασμών'!$B$5:$B$40,MATCH(E48,'Σχέδιο Λογαριασμών'!$A$5:$A$40,0)),"")</f>
        <v/>
      </c>
      <c r="G48" s="29"/>
      <c r="H48" s="29"/>
    </row>
    <row r="49" customFormat="false" ht="15" hidden="false" customHeight="false" outlineLevel="0" collapsed="false">
      <c r="A49" s="23"/>
      <c r="B49" s="24"/>
      <c r="C49" s="25"/>
      <c r="D49" s="26"/>
      <c r="E49" s="27"/>
      <c r="F49" s="28" t="str">
        <f aca="false">IFERROR(INDEX('Σχέδιο Λογαριασμών'!$B$5:$B$40,MATCH(E49,'Σχέδιο Λογαριασμών'!$A$5:$A$40,0)),"")</f>
        <v/>
      </c>
      <c r="G49" s="29"/>
      <c r="H49" s="29"/>
    </row>
    <row r="50" customFormat="false" ht="15" hidden="false" customHeight="false" outlineLevel="0" collapsed="false">
      <c r="A50" s="23"/>
      <c r="B50" s="24"/>
      <c r="C50" s="25"/>
      <c r="D50" s="26"/>
      <c r="E50" s="27"/>
      <c r="F50" s="28" t="str">
        <f aca="false">IFERROR(INDEX('Σχέδιο Λογαριασμών'!$B$5:$B$40,MATCH(E50,'Σχέδιο Λογαριασμών'!$A$5:$A$40,0)),"")</f>
        <v/>
      </c>
      <c r="G50" s="29"/>
      <c r="H50" s="29"/>
    </row>
    <row r="51" customFormat="false" ht="15" hidden="false" customHeight="false" outlineLevel="0" collapsed="false">
      <c r="A51" s="23"/>
      <c r="B51" s="24"/>
      <c r="C51" s="25"/>
      <c r="D51" s="26"/>
      <c r="E51" s="27"/>
      <c r="F51" s="28" t="str">
        <f aca="false">IFERROR(INDEX('Σχέδιο Λογαριασμών'!$B$5:$B$40,MATCH(E51,'Σχέδιο Λογαριασμών'!$A$5:$A$40,0)),"")</f>
        <v/>
      </c>
      <c r="G51" s="29"/>
      <c r="H51" s="29"/>
    </row>
    <row r="52" customFormat="false" ht="15" hidden="false" customHeight="false" outlineLevel="0" collapsed="false">
      <c r="A52" s="23"/>
      <c r="B52" s="24"/>
      <c r="C52" s="25"/>
      <c r="D52" s="26"/>
      <c r="E52" s="27"/>
      <c r="F52" s="28" t="str">
        <f aca="false">IFERROR(INDEX('Σχέδιο Λογαριασμών'!$B$5:$B$40,MATCH(E52,'Σχέδιο Λογαριασμών'!$A$5:$A$40,0)),"")</f>
        <v/>
      </c>
      <c r="G52" s="29"/>
      <c r="H52" s="29"/>
    </row>
    <row r="53" customFormat="false" ht="15" hidden="false" customHeight="false" outlineLevel="0" collapsed="false">
      <c r="A53" s="23"/>
      <c r="B53" s="24"/>
      <c r="C53" s="25"/>
      <c r="D53" s="26"/>
      <c r="E53" s="27"/>
      <c r="F53" s="28" t="str">
        <f aca="false">IFERROR(INDEX('Σχέδιο Λογαριασμών'!$B$5:$B$40,MATCH(E53,'Σχέδιο Λογαριασμών'!$A$5:$A$40,0)),"")</f>
        <v/>
      </c>
      <c r="G53" s="29"/>
      <c r="H53" s="29"/>
    </row>
    <row r="54" customFormat="false" ht="15" hidden="false" customHeight="false" outlineLevel="0" collapsed="false">
      <c r="A54" s="23"/>
      <c r="B54" s="24"/>
      <c r="C54" s="25"/>
      <c r="D54" s="26"/>
      <c r="E54" s="27"/>
      <c r="F54" s="28" t="str">
        <f aca="false">IFERROR(INDEX('Σχέδιο Λογαριασμών'!$B$5:$B$40,MATCH(E54,'Σχέδιο Λογαριασμών'!$A$5:$A$40,0)),"")</f>
        <v/>
      </c>
      <c r="G54" s="29"/>
      <c r="H54" s="29"/>
    </row>
    <row r="55" customFormat="false" ht="15" hidden="false" customHeight="false" outlineLevel="0" collapsed="false">
      <c r="A55" s="23"/>
      <c r="B55" s="24"/>
      <c r="C55" s="25"/>
      <c r="D55" s="26"/>
      <c r="E55" s="27"/>
      <c r="F55" s="28" t="str">
        <f aca="false">IFERROR(INDEX('Σχέδιο Λογαριασμών'!$B$5:$B$40,MATCH(E55,'Σχέδιο Λογαριασμών'!$A$5:$A$40,0)),"")</f>
        <v/>
      </c>
      <c r="G55" s="29"/>
      <c r="H55" s="29"/>
    </row>
    <row r="56" customFormat="false" ht="15" hidden="false" customHeight="false" outlineLevel="0" collapsed="false">
      <c r="A56" s="23"/>
      <c r="B56" s="24"/>
      <c r="C56" s="25"/>
      <c r="D56" s="26"/>
      <c r="E56" s="27"/>
      <c r="F56" s="28" t="str">
        <f aca="false">IFERROR(INDEX('Σχέδιο Λογαριασμών'!$B$5:$B$40,MATCH(E56,'Σχέδιο Λογαριασμών'!$A$5:$A$40,0)),"")</f>
        <v/>
      </c>
      <c r="G56" s="29"/>
      <c r="H56" s="29"/>
    </row>
    <row r="57" customFormat="false" ht="15" hidden="false" customHeight="false" outlineLevel="0" collapsed="false">
      <c r="A57" s="23"/>
      <c r="B57" s="24"/>
      <c r="C57" s="25"/>
      <c r="D57" s="26"/>
      <c r="E57" s="27"/>
      <c r="F57" s="28" t="str">
        <f aca="false">IFERROR(INDEX('Σχέδιο Λογαριασμών'!$B$5:$B$40,MATCH(E57,'Σχέδιο Λογαριασμών'!$A$5:$A$40,0)),"")</f>
        <v/>
      </c>
      <c r="G57" s="29"/>
      <c r="H57" s="29"/>
    </row>
    <row r="58" customFormat="false" ht="15" hidden="false" customHeight="false" outlineLevel="0" collapsed="false">
      <c r="A58" s="23"/>
      <c r="B58" s="24"/>
      <c r="C58" s="25"/>
      <c r="D58" s="26"/>
      <c r="E58" s="27"/>
      <c r="F58" s="28" t="str">
        <f aca="false">IFERROR(INDEX('Σχέδιο Λογαριασμών'!$B$5:$B$40,MATCH(E58,'Σχέδιο Λογαριασμών'!$A$5:$A$40,0)),"")</f>
        <v/>
      </c>
      <c r="G58" s="29"/>
      <c r="H58" s="29"/>
    </row>
    <row r="59" customFormat="false" ht="15" hidden="false" customHeight="false" outlineLevel="0" collapsed="false">
      <c r="A59" s="23"/>
      <c r="B59" s="24"/>
      <c r="C59" s="25"/>
      <c r="D59" s="26"/>
      <c r="E59" s="27"/>
      <c r="F59" s="28" t="str">
        <f aca="false">IFERROR(INDEX('Σχέδιο Λογαριασμών'!$B$5:$B$40,MATCH(E59,'Σχέδιο Λογαριασμών'!$A$5:$A$40,0)),"")</f>
        <v/>
      </c>
      <c r="G59" s="29"/>
      <c r="H59" s="29"/>
    </row>
    <row r="60" customFormat="false" ht="15" hidden="false" customHeight="false" outlineLevel="0" collapsed="false">
      <c r="A60" s="23"/>
      <c r="B60" s="24"/>
      <c r="C60" s="25"/>
      <c r="D60" s="26"/>
      <c r="E60" s="27"/>
      <c r="F60" s="28" t="str">
        <f aca="false">IFERROR(INDEX('Σχέδιο Λογαριασμών'!$B$5:$B$40,MATCH(E60,'Σχέδιο Λογαριασμών'!$A$5:$A$40,0)),"")</f>
        <v/>
      </c>
      <c r="G60" s="29"/>
      <c r="H60" s="29"/>
    </row>
    <row r="61" customFormat="false" ht="15" hidden="false" customHeight="false" outlineLevel="0" collapsed="false">
      <c r="A61" s="23"/>
      <c r="B61" s="24"/>
      <c r="C61" s="25"/>
      <c r="D61" s="26"/>
      <c r="E61" s="27"/>
      <c r="F61" s="28" t="str">
        <f aca="false">IFERROR(INDEX('Σχέδιο Λογαριασμών'!$B$5:$B$40,MATCH(E61,'Σχέδιο Λογαριασμών'!$A$5:$A$40,0)),"")</f>
        <v/>
      </c>
      <c r="G61" s="29"/>
      <c r="H61" s="29"/>
    </row>
    <row r="62" customFormat="false" ht="15" hidden="false" customHeight="false" outlineLevel="0" collapsed="false">
      <c r="A62" s="23"/>
      <c r="B62" s="24"/>
      <c r="C62" s="25"/>
      <c r="D62" s="26"/>
      <c r="E62" s="27"/>
      <c r="F62" s="28" t="str">
        <f aca="false">IFERROR(INDEX('Σχέδιο Λογαριασμών'!$B$5:$B$40,MATCH(E62,'Σχέδιο Λογαριασμών'!$A$5:$A$40,0)),"")</f>
        <v/>
      </c>
      <c r="G62" s="29"/>
      <c r="H62" s="29"/>
    </row>
    <row r="63" customFormat="false" ht="15" hidden="false" customHeight="false" outlineLevel="0" collapsed="false">
      <c r="A63" s="23"/>
      <c r="B63" s="24"/>
      <c r="C63" s="25"/>
      <c r="D63" s="26"/>
      <c r="E63" s="27"/>
      <c r="F63" s="28" t="str">
        <f aca="false">IFERROR(INDEX('Σχέδιο Λογαριασμών'!$B$5:$B$40,MATCH(E63,'Σχέδιο Λογαριασμών'!$A$5:$A$40,0)),"")</f>
        <v/>
      </c>
      <c r="G63" s="29"/>
      <c r="H63" s="29"/>
    </row>
    <row r="64" customFormat="false" ht="15" hidden="false" customHeight="false" outlineLevel="0" collapsed="false">
      <c r="A64" s="23"/>
      <c r="B64" s="24"/>
      <c r="C64" s="25"/>
      <c r="D64" s="26"/>
      <c r="E64" s="27"/>
      <c r="F64" s="28" t="str">
        <f aca="false">IFERROR(INDEX('Σχέδιο Λογαριασμών'!$B$5:$B$40,MATCH(E64,'Σχέδιο Λογαριασμών'!$A$5:$A$40,0)),"")</f>
        <v/>
      </c>
      <c r="G64" s="29"/>
      <c r="H64" s="29"/>
    </row>
    <row r="65" customFormat="false" ht="15" hidden="false" customHeight="false" outlineLevel="0" collapsed="false">
      <c r="F65" s="34" t="s">
        <v>167</v>
      </c>
      <c r="G65" s="35" t="n">
        <f aca="false">SUM(G5:G64)</f>
        <v>81757.33</v>
      </c>
      <c r="H65" s="35" t="n">
        <f aca="false">SUM(H5:H64)</f>
        <v>81757.33</v>
      </c>
    </row>
    <row r="66" customFormat="false" ht="15" hidden="false" customHeight="false" outlineLevel="0" collapsed="false">
      <c r="A66" s="36" t="s">
        <v>168</v>
      </c>
      <c r="B66" s="36"/>
      <c r="C66" s="36"/>
      <c r="D66" s="36"/>
      <c r="E66" s="36"/>
      <c r="F66" s="36"/>
      <c r="G66" s="37" t="str">
        <f aca="false">IF(ROUND(G65-H65,2)=0,"✓ ΙΣΟΣΚΕΛΙΖΕΙ","✗ ΔΙΑΦΟΡΑ "&amp;TEXT(G65-H65,"0.00"))</f>
        <v>✓ ΙΣΟΣΚΕΛΙΖΕΙ</v>
      </c>
      <c r="H66" s="37"/>
    </row>
  </sheetData>
  <mergeCells count="4">
    <mergeCell ref="A1:H1"/>
    <mergeCell ref="A2:H2"/>
    <mergeCell ref="A66:F66"/>
    <mergeCell ref="G66:H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4" min="3" style="0" width="17"/>
    <col collapsed="false" customWidth="true" hidden="false" outlineLevel="0" max="6" min="5" style="0" width="18"/>
  </cols>
  <sheetData>
    <row r="1" customFormat="false" ht="33.75" hidden="false" customHeight="true" outlineLevel="0" collapsed="false">
      <c r="A1" s="1" t="s">
        <v>169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170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12" t="s">
        <v>25</v>
      </c>
      <c r="B4" s="12" t="s">
        <v>171</v>
      </c>
      <c r="C4" s="12" t="s">
        <v>172</v>
      </c>
      <c r="D4" s="12" t="s">
        <v>173</v>
      </c>
      <c r="E4" s="12" t="s">
        <v>174</v>
      </c>
      <c r="F4" s="12" t="s">
        <v>175</v>
      </c>
    </row>
    <row r="5" customFormat="false" ht="15" hidden="false" customHeight="false" outlineLevel="0" collapsed="false">
      <c r="A5" s="13" t="s">
        <v>30</v>
      </c>
      <c r="B5" s="14" t="s">
        <v>31</v>
      </c>
      <c r="C5" s="38" t="n">
        <f aca="false">SUMIFS(Ημερολόγιο!$G$5:$G$64,Ημερολόγιο!$E$5:$E$64,A5)</f>
        <v>0</v>
      </c>
      <c r="D5" s="38" t="n">
        <f aca="false">SUMIFS(Ημερολόγιο!$H$5:$H$64,Ημερολόγιο!$E$5:$E$64,A5)</f>
        <v>0</v>
      </c>
      <c r="E5" s="39" t="n">
        <f aca="false">IF(C5-D5&gt;0,C5-D5,0)</f>
        <v>0</v>
      </c>
      <c r="F5" s="39" t="n">
        <f aca="false">IF(D5-C5&gt;0,D5-C5,0)</f>
        <v>0</v>
      </c>
    </row>
    <row r="6" customFormat="false" ht="15" hidden="false" customHeight="false" outlineLevel="0" collapsed="false">
      <c r="A6" s="13" t="s">
        <v>35</v>
      </c>
      <c r="B6" s="14" t="s">
        <v>36</v>
      </c>
      <c r="C6" s="38" t="n">
        <f aca="false">SUMIFS(Ημερολόγιο!$G$5:$G$64,Ημερολόγιο!$E$5:$E$64,A6)</f>
        <v>0</v>
      </c>
      <c r="D6" s="38" t="n">
        <f aca="false">SUMIFS(Ημερολόγιο!$H$5:$H$64,Ημερολόγιο!$E$5:$E$64,A6)</f>
        <v>0</v>
      </c>
      <c r="E6" s="39" t="n">
        <f aca="false">IF(C6-D6&gt;0,C6-D6,0)</f>
        <v>0</v>
      </c>
      <c r="F6" s="39" t="n">
        <f aca="false">IF(D6-C6&gt;0,D6-C6,0)</f>
        <v>0</v>
      </c>
    </row>
    <row r="7" customFormat="false" ht="15" hidden="false" customHeight="false" outlineLevel="0" collapsed="false">
      <c r="A7" s="13" t="s">
        <v>37</v>
      </c>
      <c r="B7" s="14" t="s">
        <v>38</v>
      </c>
      <c r="C7" s="38" t="n">
        <f aca="false">SUMIFS(Ημερολόγιο!$G$5:$G$64,Ημερολόγιο!$E$5:$E$64,A7)</f>
        <v>0</v>
      </c>
      <c r="D7" s="38" t="n">
        <f aca="false">SUMIFS(Ημερολόγιο!$H$5:$H$64,Ημερολόγιο!$E$5:$E$64,A7)</f>
        <v>0</v>
      </c>
      <c r="E7" s="39" t="n">
        <f aca="false">IF(C7-D7&gt;0,C7-D7,0)</f>
        <v>0</v>
      </c>
      <c r="F7" s="39" t="n">
        <f aca="false">IF(D7-C7&gt;0,D7-C7,0)</f>
        <v>0</v>
      </c>
    </row>
    <row r="8" customFormat="false" ht="15" hidden="false" customHeight="false" outlineLevel="0" collapsed="false">
      <c r="A8" s="13" t="s">
        <v>39</v>
      </c>
      <c r="B8" s="14" t="s">
        <v>40</v>
      </c>
      <c r="C8" s="38" t="n">
        <f aca="false">SUMIFS(Ημερολόγιο!$G$5:$G$64,Ημερολόγιο!$E$5:$E$64,A8)</f>
        <v>0</v>
      </c>
      <c r="D8" s="38" t="n">
        <f aca="false">SUMIFS(Ημερολόγιο!$H$5:$H$64,Ημερολόγιο!$E$5:$E$64,A8)</f>
        <v>0</v>
      </c>
      <c r="E8" s="39" t="n">
        <f aca="false">IF(C8-D8&gt;0,C8-D8,0)</f>
        <v>0</v>
      </c>
      <c r="F8" s="39" t="n">
        <f aca="false">IF(D8-C8&gt;0,D8-C8,0)</f>
        <v>0</v>
      </c>
    </row>
    <row r="9" customFormat="false" ht="15" hidden="false" customHeight="false" outlineLevel="0" collapsed="false">
      <c r="A9" s="13" t="s">
        <v>41</v>
      </c>
      <c r="B9" s="14" t="s">
        <v>42</v>
      </c>
      <c r="C9" s="38" t="n">
        <f aca="false">SUMIFS(Ημερολόγιο!$G$5:$G$64,Ημερολόγιο!$E$5:$E$64,A9)</f>
        <v>2000</v>
      </c>
      <c r="D9" s="38" t="n">
        <f aca="false">SUMIFS(Ημερολόγιο!$H$5:$H$64,Ημερολόγιο!$E$5:$E$64,A9)</f>
        <v>33.33</v>
      </c>
      <c r="E9" s="39" t="n">
        <f aca="false">IF(C9-D9&gt;0,C9-D9,0)</f>
        <v>1966.67</v>
      </c>
      <c r="F9" s="39" t="n">
        <f aca="false">IF(D9-C9&gt;0,D9-C9,0)</f>
        <v>0</v>
      </c>
    </row>
    <row r="10" customFormat="false" ht="15" hidden="false" customHeight="false" outlineLevel="0" collapsed="false">
      <c r="A10" s="13" t="s">
        <v>43</v>
      </c>
      <c r="B10" s="14" t="s">
        <v>44</v>
      </c>
      <c r="C10" s="38" t="n">
        <f aca="false">SUMIFS(Ημερολόγιο!$G$5:$G$64,Ημερολόγιο!$E$5:$E$64,A10)</f>
        <v>0</v>
      </c>
      <c r="D10" s="38" t="n">
        <f aca="false">SUMIFS(Ημερολόγιο!$H$5:$H$64,Ημερολόγιο!$E$5:$E$64,A10)</f>
        <v>0</v>
      </c>
      <c r="E10" s="39" t="n">
        <f aca="false">IF(C10-D10&gt;0,C10-D10,0)</f>
        <v>0</v>
      </c>
      <c r="F10" s="39" t="n">
        <f aca="false">IF(D10-C10&gt;0,D10-C10,0)</f>
        <v>0</v>
      </c>
    </row>
    <row r="11" customFormat="false" ht="15" hidden="false" customHeight="false" outlineLevel="0" collapsed="false">
      <c r="A11" s="13" t="s">
        <v>45</v>
      </c>
      <c r="B11" s="14" t="s">
        <v>46</v>
      </c>
      <c r="C11" s="38" t="n">
        <f aca="false">SUMIFS(Ημερολόγιο!$G$5:$G$64,Ημερολόγιο!$E$5:$E$64,A11)</f>
        <v>10000</v>
      </c>
      <c r="D11" s="38" t="n">
        <f aca="false">SUMIFS(Ημερολόγιο!$H$5:$H$64,Ημερολόγιο!$E$5:$E$64,A11)</f>
        <v>0</v>
      </c>
      <c r="E11" s="39" t="n">
        <f aca="false">IF(C11-D11&gt;0,C11-D11,0)</f>
        <v>10000</v>
      </c>
      <c r="F11" s="39" t="n">
        <f aca="false">IF(D11-C11&gt;0,D11-C11,0)</f>
        <v>0</v>
      </c>
    </row>
    <row r="12" customFormat="false" ht="15" hidden="false" customHeight="false" outlineLevel="0" collapsed="false">
      <c r="A12" s="13" t="s">
        <v>48</v>
      </c>
      <c r="B12" s="14" t="s">
        <v>49</v>
      </c>
      <c r="C12" s="38" t="n">
        <f aca="false">SUMIFS(Ημερολόγιο!$G$5:$G$64,Ημερολόγιο!$E$5:$E$64,A12)</f>
        <v>0</v>
      </c>
      <c r="D12" s="38" t="n">
        <f aca="false">SUMIFS(Ημερολόγιο!$H$5:$H$64,Ημερολόγιο!$E$5:$E$64,A12)</f>
        <v>0</v>
      </c>
      <c r="E12" s="39" t="n">
        <f aca="false">IF(C12-D12&gt;0,C12-D12,0)</f>
        <v>0</v>
      </c>
      <c r="F12" s="39" t="n">
        <f aca="false">IF(D12-C12&gt;0,D12-C12,0)</f>
        <v>0</v>
      </c>
    </row>
    <row r="13" customFormat="false" ht="15" hidden="false" customHeight="false" outlineLevel="0" collapsed="false">
      <c r="A13" s="13" t="s">
        <v>50</v>
      </c>
      <c r="B13" s="14" t="s">
        <v>51</v>
      </c>
      <c r="C13" s="38" t="n">
        <f aca="false">SUMIFS(Ημερολόγιο!$G$5:$G$64,Ημερολόγιο!$E$5:$E$64,A13)</f>
        <v>9920</v>
      </c>
      <c r="D13" s="38" t="n">
        <f aca="false">SUMIFS(Ημερολόγιο!$H$5:$H$64,Ημερολόγιο!$E$5:$E$64,A13)</f>
        <v>9920</v>
      </c>
      <c r="E13" s="39" t="n">
        <f aca="false">IF(C13-D13&gt;0,C13-D13,0)</f>
        <v>0</v>
      </c>
      <c r="F13" s="39" t="n">
        <f aca="false">IF(D13-C13&gt;0,D13-C13,0)</f>
        <v>0</v>
      </c>
    </row>
    <row r="14" customFormat="false" ht="15" hidden="false" customHeight="false" outlineLevel="0" collapsed="false">
      <c r="A14" s="13" t="s">
        <v>53</v>
      </c>
      <c r="B14" s="14" t="s">
        <v>54</v>
      </c>
      <c r="C14" s="38" t="n">
        <f aca="false">SUMIFS(Ημερολόγιο!$G$5:$G$64,Ημερολόγιο!$E$5:$E$64,A14)</f>
        <v>0</v>
      </c>
      <c r="D14" s="38" t="n">
        <f aca="false">SUMIFS(Ημερολόγιο!$H$5:$H$64,Ημερολόγιο!$E$5:$E$64,A14)</f>
        <v>0</v>
      </c>
      <c r="E14" s="39" t="n">
        <f aca="false">IF(C14-D14&gt;0,C14-D14,0)</f>
        <v>0</v>
      </c>
      <c r="F14" s="39" t="n">
        <f aca="false">IF(D14-C14&gt;0,D14-C14,0)</f>
        <v>0</v>
      </c>
    </row>
    <row r="15" customFormat="false" ht="15" hidden="false" customHeight="false" outlineLevel="0" collapsed="false">
      <c r="A15" s="13" t="s">
        <v>55</v>
      </c>
      <c r="B15" s="14" t="s">
        <v>56</v>
      </c>
      <c r="C15" s="38" t="n">
        <f aca="false">SUMIFS(Ημερολόγιο!$G$5:$G$64,Ημερολόγιο!$E$5:$E$64,A15)</f>
        <v>9960</v>
      </c>
      <c r="D15" s="38" t="n">
        <f aca="false">SUMIFS(Ημερολόγιο!$H$5:$H$64,Ημερολόγιο!$E$5:$E$64,A15)</f>
        <v>924</v>
      </c>
      <c r="E15" s="39" t="n">
        <f aca="false">IF(C15-D15&gt;0,C15-D15,0)</f>
        <v>9036</v>
      </c>
      <c r="F15" s="39" t="n">
        <f aca="false">IF(D15-C15&gt;0,D15-C15,0)</f>
        <v>0</v>
      </c>
    </row>
    <row r="16" customFormat="false" ht="15" hidden="false" customHeight="false" outlineLevel="0" collapsed="false">
      <c r="A16" s="13" t="s">
        <v>57</v>
      </c>
      <c r="B16" s="14" t="s">
        <v>58</v>
      </c>
      <c r="C16" s="38" t="n">
        <f aca="false">SUMIFS(Ημερολόγιο!$G$5:$G$64,Ημερολόγιο!$E$5:$E$64,A16)</f>
        <v>29920</v>
      </c>
      <c r="D16" s="38" t="n">
        <f aca="false">SUMIFS(Ημερολόγιο!$H$5:$H$64,Ημερολόγιο!$E$5:$E$64,A16)</f>
        <v>13700</v>
      </c>
      <c r="E16" s="39" t="n">
        <f aca="false">IF(C16-D16&gt;0,C16-D16,0)</f>
        <v>16220</v>
      </c>
      <c r="F16" s="39" t="n">
        <f aca="false">IF(D16-C16&gt;0,D16-C16,0)</f>
        <v>0</v>
      </c>
    </row>
    <row r="17" customFormat="false" ht="15" hidden="false" customHeight="false" outlineLevel="0" collapsed="false">
      <c r="A17" s="13" t="s">
        <v>59</v>
      </c>
      <c r="B17" s="14" t="s">
        <v>60</v>
      </c>
      <c r="C17" s="38" t="n">
        <f aca="false">SUMIFS(Ημερολόγιο!$G$5:$G$64,Ημερολόγιο!$E$5:$E$64,A17)</f>
        <v>0</v>
      </c>
      <c r="D17" s="38" t="n">
        <f aca="false">SUMIFS(Ημερολόγιο!$H$5:$H$64,Ημερολόγιο!$E$5:$E$64,A17)</f>
        <v>25000</v>
      </c>
      <c r="E17" s="39" t="n">
        <f aca="false">IF(C17-D17&gt;0,C17-D17,0)</f>
        <v>0</v>
      </c>
      <c r="F17" s="39" t="n">
        <f aca="false">IF(D17-C17&gt;0,D17-C17,0)</f>
        <v>25000</v>
      </c>
    </row>
    <row r="18" customFormat="false" ht="15" hidden="false" customHeight="false" outlineLevel="0" collapsed="false">
      <c r="A18" s="13" t="s">
        <v>64</v>
      </c>
      <c r="B18" s="14" t="s">
        <v>65</v>
      </c>
      <c r="C18" s="38" t="n">
        <f aca="false">SUMIFS(Ημερολόγιο!$G$5:$G$64,Ημερολόγιο!$E$5:$E$64,A18)</f>
        <v>0</v>
      </c>
      <c r="D18" s="38" t="n">
        <f aca="false">SUMIFS(Ημερολόγιο!$H$5:$H$64,Ημερολόγιο!$E$5:$E$64,A18)</f>
        <v>0</v>
      </c>
      <c r="E18" s="39" t="n">
        <f aca="false">IF(C18-D18&gt;0,C18-D18,0)</f>
        <v>0</v>
      </c>
      <c r="F18" s="39" t="n">
        <f aca="false">IF(D18-C18&gt;0,D18-C18,0)</f>
        <v>0</v>
      </c>
    </row>
    <row r="19" customFormat="false" ht="15" hidden="false" customHeight="false" outlineLevel="0" collapsed="false">
      <c r="A19" s="13" t="s">
        <v>66</v>
      </c>
      <c r="B19" s="14" t="s">
        <v>67</v>
      </c>
      <c r="C19" s="38" t="n">
        <f aca="false">SUMIFS(Ημερολόγιο!$G$5:$G$64,Ημερολόγιο!$E$5:$E$64,A19)</f>
        <v>0</v>
      </c>
      <c r="D19" s="38" t="n">
        <f aca="false">SUMIFS(Ημερολόγιο!$H$5:$H$64,Ημερολόγιο!$E$5:$E$64,A19)</f>
        <v>0</v>
      </c>
      <c r="E19" s="39" t="n">
        <f aca="false">IF(C19-D19&gt;0,C19-D19,0)</f>
        <v>0</v>
      </c>
      <c r="F19" s="39" t="n">
        <f aca="false">IF(D19-C19&gt;0,D19-C19,0)</f>
        <v>0</v>
      </c>
    </row>
    <row r="20" customFormat="false" ht="15" hidden="false" customHeight="false" outlineLevel="0" collapsed="false">
      <c r="A20" s="13" t="s">
        <v>68</v>
      </c>
      <c r="B20" s="14" t="s">
        <v>69</v>
      </c>
      <c r="C20" s="38" t="n">
        <f aca="false">SUMIFS(Ημερολόγιο!$G$5:$G$64,Ημερολόγιο!$E$5:$E$64,A20)</f>
        <v>0</v>
      </c>
      <c r="D20" s="38" t="n">
        <f aca="false">SUMIFS(Ημερολόγιο!$H$5:$H$64,Ημερολόγιο!$E$5:$E$64,A20)</f>
        <v>0</v>
      </c>
      <c r="E20" s="39" t="n">
        <f aca="false">IF(C20-D20&gt;0,C20-D20,0)</f>
        <v>0</v>
      </c>
      <c r="F20" s="39" t="n">
        <f aca="false">IF(D20-C20&gt;0,D20-C20,0)</f>
        <v>0</v>
      </c>
    </row>
    <row r="21" customFormat="false" ht="15" hidden="false" customHeight="false" outlineLevel="0" collapsed="false">
      <c r="A21" s="13" t="s">
        <v>71</v>
      </c>
      <c r="B21" s="14" t="s">
        <v>72</v>
      </c>
      <c r="C21" s="38" t="n">
        <f aca="false">SUMIFS(Ημερολόγιο!$G$5:$G$64,Ημερολόγιο!$E$5:$E$64,A21)</f>
        <v>12400</v>
      </c>
      <c r="D21" s="38" t="n">
        <f aca="false">SUMIFS(Ημερολόγιο!$H$5:$H$64,Ημερολόγιο!$E$5:$E$64,A21)</f>
        <v>15500</v>
      </c>
      <c r="E21" s="39" t="n">
        <f aca="false">IF(C21-D21&gt;0,C21-D21,0)</f>
        <v>0</v>
      </c>
      <c r="F21" s="39" t="n">
        <f aca="false">IF(D21-C21&gt;0,D21-C21,0)</f>
        <v>3100</v>
      </c>
    </row>
    <row r="22" customFormat="false" ht="15" hidden="false" customHeight="false" outlineLevel="0" collapsed="false">
      <c r="A22" s="13" t="s">
        <v>74</v>
      </c>
      <c r="B22" s="14" t="s">
        <v>75</v>
      </c>
      <c r="C22" s="38" t="n">
        <f aca="false">SUMIFS(Ημερολόγιο!$G$5:$G$64,Ημερολόγιο!$E$5:$E$64,A22)</f>
        <v>1300</v>
      </c>
      <c r="D22" s="38" t="n">
        <f aca="false">SUMIFS(Ημερολόγιο!$H$5:$H$64,Ημερολόγιο!$E$5:$E$64,A22)</f>
        <v>1300</v>
      </c>
      <c r="E22" s="39" t="n">
        <f aca="false">IF(C22-D22&gt;0,C22-D22,0)</f>
        <v>0</v>
      </c>
      <c r="F22" s="39" t="n">
        <f aca="false">IF(D22-C22&gt;0,D22-C22,0)</f>
        <v>0</v>
      </c>
    </row>
    <row r="23" customFormat="false" ht="15" hidden="false" customHeight="false" outlineLevel="0" collapsed="false">
      <c r="A23" s="13" t="s">
        <v>76</v>
      </c>
      <c r="B23" s="14" t="s">
        <v>77</v>
      </c>
      <c r="C23" s="38" t="n">
        <f aca="false">SUMIFS(Ημερολόγιο!$G$5:$G$64,Ημερολόγιο!$E$5:$E$64,A23)</f>
        <v>3024</v>
      </c>
      <c r="D23" s="38" t="n">
        <f aca="false">SUMIFS(Ημερολόγιο!$H$5:$H$64,Ημερολόγιο!$E$5:$E$64,A23)</f>
        <v>2880</v>
      </c>
      <c r="E23" s="39" t="n">
        <f aca="false">IF(C23-D23&gt;0,C23-D23,0)</f>
        <v>144</v>
      </c>
      <c r="F23" s="39" t="n">
        <f aca="false">IF(D23-C23&gt;0,D23-C23,0)</f>
        <v>0</v>
      </c>
    </row>
    <row r="24" customFormat="false" ht="15" hidden="false" customHeight="false" outlineLevel="0" collapsed="false">
      <c r="A24" s="13" t="s">
        <v>80</v>
      </c>
      <c r="B24" s="14" t="s">
        <v>81</v>
      </c>
      <c r="C24" s="38" t="n">
        <f aca="false">SUMIFS(Ημερολόγιο!$G$5:$G$64,Ημερολόγιο!$E$5:$E$64,A24)</f>
        <v>0</v>
      </c>
      <c r="D24" s="38" t="n">
        <f aca="false">SUMIFS(Ημερολόγιο!$H$5:$H$64,Ημερολόγιο!$E$5:$E$64,A24)</f>
        <v>0</v>
      </c>
      <c r="E24" s="39" t="n">
        <f aca="false">IF(C24-D24&gt;0,C24-D24,0)</f>
        <v>0</v>
      </c>
      <c r="F24" s="39" t="n">
        <f aca="false">IF(D24-C24&gt;0,D24-C24,0)</f>
        <v>0</v>
      </c>
    </row>
    <row r="25" customFormat="false" ht="15" hidden="false" customHeight="false" outlineLevel="0" collapsed="false">
      <c r="A25" s="13" t="s">
        <v>82</v>
      </c>
      <c r="B25" s="14" t="s">
        <v>83</v>
      </c>
      <c r="C25" s="38" t="n">
        <f aca="false">SUMIFS(Ημερολόγιο!$G$5:$G$64,Ημερολόγιο!$E$5:$E$64,A25)</f>
        <v>0</v>
      </c>
      <c r="D25" s="38" t="n">
        <f aca="false">SUMIFS(Ημερολόγιο!$H$5:$H$64,Ημερολόγιο!$E$5:$E$64,A25)</f>
        <v>500</v>
      </c>
      <c r="E25" s="39" t="n">
        <f aca="false">IF(C25-D25&gt;0,C25-D25,0)</f>
        <v>0</v>
      </c>
      <c r="F25" s="39" t="n">
        <f aca="false">IF(D25-C25&gt;0,D25-C25,0)</f>
        <v>500</v>
      </c>
    </row>
    <row r="26" customFormat="false" ht="15" hidden="false" customHeight="false" outlineLevel="0" collapsed="false">
      <c r="A26" s="13" t="s">
        <v>84</v>
      </c>
      <c r="B26" s="14" t="s">
        <v>85</v>
      </c>
      <c r="C26" s="38" t="n">
        <f aca="false">SUMIFS(Ημερολόγιο!$G$5:$G$64,Ημερολόγιο!$E$5:$E$64,A26)</f>
        <v>1500</v>
      </c>
      <c r="D26" s="38" t="n">
        <f aca="false">SUMIFS(Ημερολόγιο!$H$5:$H$64,Ημερολόγιο!$E$5:$E$64,A26)</f>
        <v>0</v>
      </c>
      <c r="E26" s="39" t="n">
        <f aca="false">IF(C26-D26&gt;0,C26-D26,0)</f>
        <v>1500</v>
      </c>
      <c r="F26" s="39" t="n">
        <f aca="false">IF(D26-C26&gt;0,D26-C26,0)</f>
        <v>0</v>
      </c>
    </row>
    <row r="27" customFormat="false" ht="15" hidden="false" customHeight="false" outlineLevel="0" collapsed="false">
      <c r="A27" s="13" t="s">
        <v>88</v>
      </c>
      <c r="B27" s="14" t="s">
        <v>89</v>
      </c>
      <c r="C27" s="38" t="n">
        <f aca="false">SUMIFS(Ημερολόγιο!$G$5:$G$64,Ημερολόγιο!$E$5:$E$64,A27)</f>
        <v>300</v>
      </c>
      <c r="D27" s="38" t="n">
        <f aca="false">SUMIFS(Ημερολόγιο!$H$5:$H$64,Ημερολόγιο!$E$5:$E$64,A27)</f>
        <v>0</v>
      </c>
      <c r="E27" s="39" t="n">
        <f aca="false">IF(C27-D27&gt;0,C27-D27,0)</f>
        <v>300</v>
      </c>
      <c r="F27" s="39" t="n">
        <f aca="false">IF(D27-C27&gt;0,D27-C27,0)</f>
        <v>0</v>
      </c>
    </row>
    <row r="28" customFormat="false" ht="15" hidden="false" customHeight="false" outlineLevel="0" collapsed="false">
      <c r="A28" s="13" t="s">
        <v>90</v>
      </c>
      <c r="B28" s="14" t="s">
        <v>91</v>
      </c>
      <c r="C28" s="38" t="n">
        <f aca="false">SUMIFS(Ημερολόγιο!$G$5:$G$64,Ημερολόγιο!$E$5:$E$64,A28)</f>
        <v>0</v>
      </c>
      <c r="D28" s="38" t="n">
        <f aca="false">SUMIFS(Ημερολόγιο!$H$5:$H$64,Ημερολόγιο!$E$5:$E$64,A28)</f>
        <v>0</v>
      </c>
      <c r="E28" s="39" t="n">
        <f aca="false">IF(C28-D28&gt;0,C28-D28,0)</f>
        <v>0</v>
      </c>
      <c r="F28" s="39" t="n">
        <f aca="false">IF(D28-C28&gt;0,D28-C28,0)</f>
        <v>0</v>
      </c>
    </row>
    <row r="29" customFormat="false" ht="15" hidden="false" customHeight="false" outlineLevel="0" collapsed="false">
      <c r="A29" s="13" t="s">
        <v>92</v>
      </c>
      <c r="B29" s="14" t="s">
        <v>93</v>
      </c>
      <c r="C29" s="38" t="n">
        <f aca="false">SUMIFS(Ημερολόγιο!$G$5:$G$64,Ημερολόγιο!$E$5:$E$64,A29)</f>
        <v>100</v>
      </c>
      <c r="D29" s="38" t="n">
        <f aca="false">SUMIFS(Ημερολόγιο!$H$5:$H$64,Ημερολόγιο!$E$5:$E$64,A29)</f>
        <v>0</v>
      </c>
      <c r="E29" s="39" t="n">
        <f aca="false">IF(C29-D29&gt;0,C29-D29,0)</f>
        <v>100</v>
      </c>
      <c r="F29" s="39" t="n">
        <f aca="false">IF(D29-C29&gt;0,D29-C29,0)</f>
        <v>0</v>
      </c>
    </row>
    <row r="30" customFormat="false" ht="15" hidden="false" customHeight="false" outlineLevel="0" collapsed="false">
      <c r="A30" s="13" t="s">
        <v>94</v>
      </c>
      <c r="B30" s="14" t="s">
        <v>95</v>
      </c>
      <c r="C30" s="38" t="n">
        <f aca="false">SUMIFS(Ημερολόγιο!$G$5:$G$64,Ημερολόγιο!$E$5:$E$64,A30)</f>
        <v>800</v>
      </c>
      <c r="D30" s="38" t="n">
        <f aca="false">SUMIFS(Ημερολόγιο!$H$5:$H$64,Ημερολόγιο!$E$5:$E$64,A30)</f>
        <v>0</v>
      </c>
      <c r="E30" s="39" t="n">
        <f aca="false">IF(C30-D30&gt;0,C30-D30,0)</f>
        <v>800</v>
      </c>
      <c r="F30" s="39" t="n">
        <f aca="false">IF(D30-C30&gt;0,D30-C30,0)</f>
        <v>0</v>
      </c>
    </row>
    <row r="31" customFormat="false" ht="15" hidden="false" customHeight="false" outlineLevel="0" collapsed="false">
      <c r="A31" s="13" t="s">
        <v>96</v>
      </c>
      <c r="B31" s="14" t="s">
        <v>97</v>
      </c>
      <c r="C31" s="38" t="n">
        <f aca="false">SUMIFS(Ημερολόγιο!$G$5:$G$64,Ημερολόγιο!$E$5:$E$64,A31)</f>
        <v>500</v>
      </c>
      <c r="D31" s="38" t="n">
        <f aca="false">SUMIFS(Ημερολόγιο!$H$5:$H$64,Ημερολόγιο!$E$5:$E$64,A31)</f>
        <v>0</v>
      </c>
      <c r="E31" s="39" t="n">
        <f aca="false">IF(C31-D31&gt;0,C31-D31,0)</f>
        <v>500</v>
      </c>
      <c r="F31" s="39" t="n">
        <f aca="false">IF(D31-C31&gt;0,D31-C31,0)</f>
        <v>0</v>
      </c>
    </row>
    <row r="32" customFormat="false" ht="15" hidden="false" customHeight="false" outlineLevel="0" collapsed="false">
      <c r="A32" s="13" t="s">
        <v>98</v>
      </c>
      <c r="B32" s="14" t="s">
        <v>99</v>
      </c>
      <c r="C32" s="38" t="n">
        <f aca="false">SUMIFS(Ημερολόγιο!$G$5:$G$64,Ημερολόγιο!$E$5:$E$64,A32)</f>
        <v>0</v>
      </c>
      <c r="D32" s="38" t="n">
        <f aca="false">SUMIFS(Ημερολόγιο!$H$5:$H$64,Ημερολόγιο!$E$5:$E$64,A32)</f>
        <v>0</v>
      </c>
      <c r="E32" s="39" t="n">
        <f aca="false">IF(C32-D32&gt;0,C32-D32,0)</f>
        <v>0</v>
      </c>
      <c r="F32" s="39" t="n">
        <f aca="false">IF(D32-C32&gt;0,D32-C32,0)</f>
        <v>0</v>
      </c>
    </row>
    <row r="33" customFormat="false" ht="15" hidden="false" customHeight="false" outlineLevel="0" collapsed="false">
      <c r="A33" s="13" t="s">
        <v>100</v>
      </c>
      <c r="B33" s="14" t="s">
        <v>101</v>
      </c>
      <c r="C33" s="38" t="n">
        <f aca="false">SUMIFS(Ημερολόγιο!$G$5:$G$64,Ημερολόγιο!$E$5:$E$64,A33)</f>
        <v>0</v>
      </c>
      <c r="D33" s="38" t="n">
        <f aca="false">SUMIFS(Ημερολόγιο!$H$5:$H$64,Ημερολόγιο!$E$5:$E$64,A33)</f>
        <v>0</v>
      </c>
      <c r="E33" s="39" t="n">
        <f aca="false">IF(C33-D33&gt;0,C33-D33,0)</f>
        <v>0</v>
      </c>
      <c r="F33" s="39" t="n">
        <f aca="false">IF(D33-C33&gt;0,D33-C33,0)</f>
        <v>0</v>
      </c>
    </row>
    <row r="34" customFormat="false" ht="15" hidden="false" customHeight="false" outlineLevel="0" collapsed="false">
      <c r="A34" s="13" t="s">
        <v>102</v>
      </c>
      <c r="B34" s="14" t="s">
        <v>103</v>
      </c>
      <c r="C34" s="38" t="n">
        <f aca="false">SUMIFS(Ημερολόγιο!$G$5:$G$64,Ημερολόγιο!$E$5:$E$64,A34)</f>
        <v>33.33</v>
      </c>
      <c r="D34" s="38" t="n">
        <f aca="false">SUMIFS(Ημερολόγιο!$H$5:$H$64,Ημερολόγιο!$E$5:$E$64,A34)</f>
        <v>0</v>
      </c>
      <c r="E34" s="39" t="n">
        <f aca="false">IF(C34-D34&gt;0,C34-D34,0)</f>
        <v>33.33</v>
      </c>
      <c r="F34" s="39" t="n">
        <f aca="false">IF(D34-C34&gt;0,D34-C34,0)</f>
        <v>0</v>
      </c>
    </row>
    <row r="35" customFormat="false" ht="15" hidden="false" customHeight="false" outlineLevel="0" collapsed="false">
      <c r="A35" s="13" t="s">
        <v>104</v>
      </c>
      <c r="B35" s="14" t="s">
        <v>105</v>
      </c>
      <c r="C35" s="38" t="n">
        <f aca="false">SUMIFS(Ημερολόγιο!$G$5:$G$64,Ημερολόγιο!$E$5:$E$64,A35)</f>
        <v>0</v>
      </c>
      <c r="D35" s="38" t="n">
        <f aca="false">SUMIFS(Ημερολόγιο!$H$5:$H$64,Ημερολόγιο!$E$5:$E$64,A35)</f>
        <v>12000</v>
      </c>
      <c r="E35" s="39" t="n">
        <f aca="false">IF(C35-D35&gt;0,C35-D35,0)</f>
        <v>0</v>
      </c>
      <c r="F35" s="39" t="n">
        <f aca="false">IF(D35-C35&gt;0,D35-C35,0)</f>
        <v>12000</v>
      </c>
    </row>
    <row r="36" customFormat="false" ht="15" hidden="false" customHeight="false" outlineLevel="0" collapsed="false">
      <c r="A36" s="13" t="s">
        <v>108</v>
      </c>
      <c r="B36" s="14" t="s">
        <v>109</v>
      </c>
      <c r="C36" s="38" t="n">
        <f aca="false">SUMIFS(Ημερολόγιο!$G$5:$G$64,Ημερολόγιο!$E$5:$E$64,A36)</f>
        <v>0</v>
      </c>
      <c r="D36" s="38" t="n">
        <f aca="false">SUMIFS(Ημερολόγιο!$H$5:$H$64,Ημερολόγιο!$E$5:$E$64,A36)</f>
        <v>0</v>
      </c>
      <c r="E36" s="39" t="n">
        <f aca="false">IF(C36-D36&gt;0,C36-D36,0)</f>
        <v>0</v>
      </c>
      <c r="F36" s="39" t="n">
        <f aca="false">IF(D36-C36&gt;0,D36-C36,0)</f>
        <v>0</v>
      </c>
    </row>
    <row r="37" customFormat="false" ht="15" hidden="false" customHeight="false" outlineLevel="0" collapsed="false">
      <c r="A37" s="13" t="s">
        <v>110</v>
      </c>
      <c r="B37" s="14" t="s">
        <v>111</v>
      </c>
      <c r="C37" s="38" t="n">
        <f aca="false">SUMIFS(Ημερολόγιο!$G$5:$G$64,Ημερολόγιο!$E$5:$E$64,A37)</f>
        <v>0</v>
      </c>
      <c r="D37" s="38" t="n">
        <f aca="false">SUMIFS(Ημερολόγιο!$H$5:$H$64,Ημερολόγιο!$E$5:$E$64,A37)</f>
        <v>0</v>
      </c>
      <c r="E37" s="39" t="n">
        <f aca="false">IF(C37-D37&gt;0,C37-D37,0)</f>
        <v>0</v>
      </c>
      <c r="F37" s="39" t="n">
        <f aca="false">IF(D37-C37&gt;0,D37-C37,0)</f>
        <v>0</v>
      </c>
    </row>
    <row r="38" customFormat="false" ht="15" hidden="false" customHeight="false" outlineLevel="0" collapsed="false">
      <c r="A38" s="13" t="s">
        <v>112</v>
      </c>
      <c r="B38" s="14" t="s">
        <v>113</v>
      </c>
      <c r="C38" s="38" t="n">
        <f aca="false">SUMIFS(Ημερολόγιο!$G$5:$G$64,Ημερολόγιο!$E$5:$E$64,A38)</f>
        <v>0</v>
      </c>
      <c r="D38" s="38" t="n">
        <f aca="false">SUMIFS(Ημερολόγιο!$H$5:$H$64,Ημερολόγιο!$E$5:$E$64,A38)</f>
        <v>0</v>
      </c>
      <c r="E38" s="39" t="n">
        <f aca="false">IF(C38-D38&gt;0,C38-D38,0)</f>
        <v>0</v>
      </c>
      <c r="F38" s="39" t="n">
        <f aca="false">IF(D38-C38&gt;0,D38-C38,0)</f>
        <v>0</v>
      </c>
    </row>
    <row r="39" customFormat="false" ht="15" hidden="false" customHeight="false" outlineLevel="0" collapsed="false">
      <c r="A39" s="13" t="s">
        <v>114</v>
      </c>
      <c r="B39" s="14" t="s">
        <v>115</v>
      </c>
      <c r="C39" s="38" t="n">
        <f aca="false">SUMIFS(Ημερολόγιο!$G$5:$G$64,Ημερολόγιο!$E$5:$E$64,A39)</f>
        <v>0</v>
      </c>
      <c r="D39" s="38" t="n">
        <f aca="false">SUMIFS(Ημερολόγιο!$H$5:$H$64,Ημερολόγιο!$E$5:$E$64,A39)</f>
        <v>0</v>
      </c>
      <c r="E39" s="39" t="n">
        <f aca="false">IF(C39-D39&gt;0,C39-D39,0)</f>
        <v>0</v>
      </c>
      <c r="F39" s="39" t="n">
        <f aca="false">IF(D39-C39&gt;0,D39-C39,0)</f>
        <v>0</v>
      </c>
    </row>
    <row r="40" customFormat="false" ht="15" hidden="false" customHeight="false" outlineLevel="0" collapsed="false">
      <c r="A40" s="13" t="s">
        <v>119</v>
      </c>
      <c r="B40" s="14" t="s">
        <v>120</v>
      </c>
      <c r="C40" s="38" t="n">
        <f aca="false">SUMIFS(Ημερολόγιο!$G$5:$G$64,Ημερολόγιο!$E$5:$E$64,A40)</f>
        <v>0</v>
      </c>
      <c r="D40" s="38" t="n">
        <f aca="false">SUMIFS(Ημερολόγιο!$H$5:$H$64,Ημερολόγιο!$E$5:$E$64,A40)</f>
        <v>0</v>
      </c>
      <c r="E40" s="39" t="n">
        <f aca="false">IF(C40-D40&gt;0,C40-D40,0)</f>
        <v>0</v>
      </c>
      <c r="F40" s="39" t="n">
        <f aca="false">IF(D40-C40&gt;0,D40-C40,0)</f>
        <v>0</v>
      </c>
    </row>
    <row r="41" customFormat="false" ht="15" hidden="false" customHeight="false" outlineLevel="0" collapsed="false">
      <c r="A41" s="40"/>
      <c r="B41" s="34" t="s">
        <v>167</v>
      </c>
      <c r="C41" s="35" t="n">
        <f aca="false">SUM(C5:C40)</f>
        <v>81757.33</v>
      </c>
      <c r="D41" s="35" t="n">
        <f aca="false">SUM(D5:D40)</f>
        <v>81757.33</v>
      </c>
      <c r="E41" s="35" t="n">
        <f aca="false">SUM(E5:E40)</f>
        <v>40600</v>
      </c>
      <c r="F41" s="35" t="n">
        <f aca="false">SUM(F5:F40)</f>
        <v>40600</v>
      </c>
    </row>
    <row r="42" customFormat="false" ht="15" hidden="false" customHeight="false" outlineLevel="0" collapsed="false">
      <c r="B42" s="41" t="s">
        <v>176</v>
      </c>
      <c r="C42" s="37" t="str">
        <f aca="false">IF(ROUND(C41-D41,2)=0,"✓ ΟΚ","✗ "&amp;TEXT(C41-D41,"0.00"))</f>
        <v>✓ ΟΚ</v>
      </c>
      <c r="D42" s="37"/>
    </row>
    <row r="43" customFormat="false" ht="15" hidden="false" customHeight="false" outlineLevel="0" collapsed="false">
      <c r="B43" s="41" t="s">
        <v>177</v>
      </c>
      <c r="E43" s="37" t="str">
        <f aca="false">IF(ROUND(E41-F41,2)=0,"✓ ΙΣΟΣΚΕΛΙΖΕΙ","✗ "&amp;TEXT(E41-F41,"0.00"))</f>
        <v>✓ ΙΣΟΣΚΕΛΙΖΕΙ</v>
      </c>
      <c r="F43" s="37"/>
    </row>
  </sheetData>
  <mergeCells count="4">
    <mergeCell ref="A1:F1"/>
    <mergeCell ref="A2:F2"/>
    <mergeCell ref="C42:D42"/>
    <mergeCell ref="E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"/>
    <col collapsed="false" customWidth="true" hidden="false" outlineLevel="0" max="5" min="4" style="0" width="22"/>
  </cols>
  <sheetData>
    <row r="1" customFormat="false" ht="33.75" hidden="false" customHeight="true" outlineLevel="0" collapsed="false">
      <c r="A1" s="1" t="s">
        <v>178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179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2" t="str">
        <f aca="false">"38.00  "&amp;IFERROR(INDEX('Σχέδιο Λογαριασμών'!$B$5:$B$40,MATCH("38.00",'Σχέδιο Λογαριασμών'!$A$5:$A$40,0)),"")</f>
        <v>38.00  Ταμείο</v>
      </c>
      <c r="B4" s="42"/>
      <c r="D4" s="42" t="str">
        <f aca="false">"38.03  "&amp;IFERROR(INDEX('Σχέδιο Λογαριασμών'!$B$5:$B$40,MATCH("38.03",'Σχέδιο Λογαριασμών'!$A$5:$A$40,0)),"")</f>
        <v>38.03  Καταθέσεις όψεως (Τράπεζα)</v>
      </c>
      <c r="E4" s="42"/>
    </row>
    <row r="5" customFormat="false" ht="15" hidden="false" customHeight="false" outlineLevel="0" collapsed="false">
      <c r="A5" s="43" t="s">
        <v>180</v>
      </c>
      <c r="B5" s="43" t="s">
        <v>181</v>
      </c>
      <c r="D5" s="43" t="s">
        <v>180</v>
      </c>
      <c r="E5" s="43" t="s">
        <v>181</v>
      </c>
    </row>
    <row r="6" customFormat="false" ht="15" hidden="false" customHeight="false" outlineLevel="0" collapsed="false">
      <c r="A6" s="44" t="n">
        <f aca="false">SUMIFS(Ημερολόγιο!$G$5:$G$64,Ημερολόγιο!$E$5:$E$64,"38.00")</f>
        <v>9960</v>
      </c>
      <c r="B6" s="44" t="n">
        <f aca="false">SUMIFS(Ημερολόγιο!$H$5:$H$64,Ημερολόγιο!$E$5:$E$64,"38.00")</f>
        <v>924</v>
      </c>
      <c r="D6" s="44" t="n">
        <f aca="false">SUMIFS(Ημερολόγιο!$G$5:$G$64,Ημερολόγιο!$E$5:$E$64,"38.03")</f>
        <v>29920</v>
      </c>
      <c r="E6" s="44" t="n">
        <f aca="false">SUMIFS(Ημερολόγιο!$H$5:$H$64,Ημερολόγιο!$E$5:$E$64,"38.03")</f>
        <v>13700</v>
      </c>
    </row>
    <row r="7" customFormat="false" ht="15" hidden="false" customHeight="false" outlineLevel="0" collapsed="false">
      <c r="A7" s="45" t="str">
        <f aca="false">"Υπόλοιπο: "&amp;TEXT(ABS(A6-B6),"#,##0.00")&amp;" € "&amp;IF(A6-B6&gt;0,"(Χρεωστικό)",IF(B6-A6&gt;0,"(Πιστωτικό)","(Μηδέν)"))</f>
        <v>Υπόλοιπο: 9,036.00 € (Χρεωστικό)</v>
      </c>
      <c r="B7" s="45"/>
      <c r="D7" s="45" t="str">
        <f aca="false">"Υπόλοιπο: "&amp;TEXT(ABS(D6-E6),"#,##0.00")&amp;" € "&amp;IF(D6-E6&gt;0,"(Χρεωστικό)",IF(E6-D6&gt;0,"(Πιστωτικό)","(Μηδέν)"))</f>
        <v>Υπόλοιπο: 16,220.00 € (Χρεωστικό)</v>
      </c>
      <c r="E7" s="45"/>
    </row>
    <row r="9" customFormat="false" ht="15" hidden="false" customHeight="false" outlineLevel="0" collapsed="false">
      <c r="A9" s="42" t="str">
        <f aca="false">"30.00  "&amp;IFERROR(INDEX('Σχέδιο Λογαριασμών'!$B$5:$B$40,MATCH("30.00",'Σχέδιο Λογαριασμών'!$A$5:$A$40,0)),"")</f>
        <v>30.00  Πελάτες</v>
      </c>
      <c r="B9" s="42"/>
      <c r="D9" s="42" t="str">
        <f aca="false">"50.00  "&amp;IFERROR(INDEX('Σχέδιο Λογαριασμών'!$B$5:$B$40,MATCH("50.00",'Σχέδιο Λογαριασμών'!$A$5:$A$40,0)),"")</f>
        <v>50.00  Προμηθευτές</v>
      </c>
      <c r="E9" s="42"/>
    </row>
    <row r="10" customFormat="false" ht="15" hidden="false" customHeight="false" outlineLevel="0" collapsed="false">
      <c r="A10" s="43" t="s">
        <v>180</v>
      </c>
      <c r="B10" s="43" t="s">
        <v>181</v>
      </c>
      <c r="D10" s="43" t="s">
        <v>180</v>
      </c>
      <c r="E10" s="43" t="s">
        <v>181</v>
      </c>
    </row>
    <row r="11" customFormat="false" ht="15" hidden="false" customHeight="false" outlineLevel="0" collapsed="false">
      <c r="A11" s="44" t="n">
        <f aca="false">SUMIFS(Ημερολόγιο!$G$5:$G$64,Ημερολόγιο!$E$5:$E$64,"30.00")</f>
        <v>9920</v>
      </c>
      <c r="B11" s="44" t="n">
        <f aca="false">SUMIFS(Ημερολόγιο!$H$5:$H$64,Ημερολόγιο!$E$5:$E$64,"30.00")</f>
        <v>9920</v>
      </c>
      <c r="D11" s="44" t="n">
        <f aca="false">SUMIFS(Ημερολόγιο!$G$5:$G$64,Ημερολόγιο!$E$5:$E$64,"50.00")</f>
        <v>12400</v>
      </c>
      <c r="E11" s="44" t="n">
        <f aca="false">SUMIFS(Ημερολόγιο!$H$5:$H$64,Ημερολόγιο!$E$5:$E$64,"50.00")</f>
        <v>15500</v>
      </c>
    </row>
    <row r="12" customFormat="false" ht="15" hidden="false" customHeight="false" outlineLevel="0" collapsed="false">
      <c r="A12" s="45" t="str">
        <f aca="false">"Υπόλοιπο: "&amp;TEXT(ABS(A11-B11),"#,##0.00")&amp;" € "&amp;IF(A11-B11&gt;0,"(Χρεωστικό)",IF(B11-A11&gt;0,"(Πιστωτικό)","(Μηδέν)"))</f>
        <v>Υπόλοιπο: 0.00 € (Μηδέν)</v>
      </c>
      <c r="B12" s="45"/>
      <c r="D12" s="45" t="str">
        <f aca="false">"Υπόλοιπο: "&amp;TEXT(ABS(D11-E11),"#,##0.00")&amp;" € "&amp;IF(D11-E11&gt;0,"(Χρεωστικό)",IF(E11-D11&gt;0,"(Πιστωτικό)","(Μηδέν)"))</f>
        <v>Υπόλοιπο: 3,100.00 € (Πιστωτικό)</v>
      </c>
      <c r="E12" s="45"/>
    </row>
    <row r="14" customFormat="false" ht="15" hidden="false" customHeight="false" outlineLevel="0" collapsed="false">
      <c r="A14" s="42" t="str">
        <f aca="false">"54.00  "&amp;IFERROR(INDEX('Σχέδιο Λογαριασμών'!$B$5:$B$40,MATCH("54.00",'Σχέδιο Λογαριασμών'!$A$5:$A$40,0)),"")</f>
        <v>54.00  Φ.Π.Α.</v>
      </c>
      <c r="B14" s="42"/>
      <c r="D14" s="42" t="str">
        <f aca="false">"70.00  "&amp;IFERROR(INDEX('Σχέδιο Λογαριασμών'!$B$5:$B$40,MATCH("70.00",'Σχέδιο Λογαριασμών'!$A$5:$A$40,0)),"")</f>
        <v>70.00  Πωλήσεις εμπορευμάτων</v>
      </c>
      <c r="E14" s="42"/>
    </row>
    <row r="15" customFormat="false" ht="15" hidden="false" customHeight="false" outlineLevel="0" collapsed="false">
      <c r="A15" s="43" t="s">
        <v>180</v>
      </c>
      <c r="B15" s="43" t="s">
        <v>181</v>
      </c>
      <c r="D15" s="43" t="s">
        <v>180</v>
      </c>
      <c r="E15" s="43" t="s">
        <v>181</v>
      </c>
    </row>
    <row r="16" customFormat="false" ht="15" hidden="false" customHeight="false" outlineLevel="0" collapsed="false">
      <c r="A16" s="44" t="n">
        <f aca="false">SUMIFS(Ημερολόγιο!$G$5:$G$64,Ημερολόγιο!$E$5:$E$64,"54.00")</f>
        <v>3024</v>
      </c>
      <c r="B16" s="44" t="n">
        <f aca="false">SUMIFS(Ημερολόγιο!$H$5:$H$64,Ημερολόγιο!$E$5:$E$64,"54.00")</f>
        <v>2880</v>
      </c>
      <c r="D16" s="44" t="n">
        <f aca="false">SUMIFS(Ημερολόγιο!$G$5:$G$64,Ημερολόγιο!$E$5:$E$64,"70.00")</f>
        <v>0</v>
      </c>
      <c r="E16" s="44" t="n">
        <f aca="false">SUMIFS(Ημερολόγιο!$H$5:$H$64,Ημερολόγιο!$E$5:$E$64,"70.00")</f>
        <v>12000</v>
      </c>
    </row>
    <row r="17" customFormat="false" ht="15" hidden="false" customHeight="false" outlineLevel="0" collapsed="false">
      <c r="A17" s="45" t="str">
        <f aca="false">"Υπόλοιπο: "&amp;TEXT(ABS(A16-B16),"#,##0.00")&amp;" € "&amp;IF(A16-B16&gt;0,"(Χρεωστικό)",IF(B16-A16&gt;0,"(Πιστωτικό)","(Μηδέν)"))</f>
        <v>Υπόλοιπο: 144.00 € (Χρεωστικό)</v>
      </c>
      <c r="B17" s="45"/>
      <c r="D17" s="45" t="str">
        <f aca="false">"Υπόλοιπο: "&amp;TEXT(ABS(D16-E16),"#,##0.00")&amp;" € "&amp;IF(D16-E16&gt;0,"(Χρεωστικό)",IF(E16-D16&gt;0,"(Πιστωτικό)","(Μηδέν)"))</f>
        <v>Υπόλοιπο: 12,000.00 € (Πιστωτικό)</v>
      </c>
      <c r="E17" s="45"/>
    </row>
    <row r="19" customFormat="false" ht="15" hidden="false" customHeight="false" outlineLevel="0" collapsed="false">
      <c r="A19" s="42" t="str">
        <f aca="false">"20.00  "&amp;IFERROR(INDEX('Σχέδιο Λογαριασμών'!$B$5:$B$40,MATCH("20.00",'Σχέδιο Λογαριασμών'!$A$5:$A$40,0)),"")</f>
        <v>20.00  Εμπορεύματα</v>
      </c>
      <c r="B19" s="42"/>
      <c r="D19" s="42" t="str">
        <f aca="false">"60.00  "&amp;IFERROR(INDEX('Σχέδιο Λογαριασμών'!$B$5:$B$40,MATCH("60.00",'Σχέδιο Λογαριασμών'!$A$5:$A$40,0)),"")</f>
        <v>60.00  Αμοιβές έμμισθου προσωπικού</v>
      </c>
      <c r="E19" s="42"/>
    </row>
    <row r="20" customFormat="false" ht="15" hidden="false" customHeight="false" outlineLevel="0" collapsed="false">
      <c r="A20" s="43" t="s">
        <v>180</v>
      </c>
      <c r="B20" s="43" t="s">
        <v>181</v>
      </c>
      <c r="D20" s="43" t="s">
        <v>180</v>
      </c>
      <c r="E20" s="43" t="s">
        <v>181</v>
      </c>
    </row>
    <row r="21" customFormat="false" ht="15" hidden="false" customHeight="false" outlineLevel="0" collapsed="false">
      <c r="A21" s="44" t="n">
        <f aca="false">SUMIFS(Ημερολόγιο!$G$5:$G$64,Ημερολόγιο!$E$5:$E$64,"20.00")</f>
        <v>10000</v>
      </c>
      <c r="B21" s="44" t="n">
        <f aca="false">SUMIFS(Ημερολόγιο!$H$5:$H$64,Ημερολόγιο!$E$5:$E$64,"20.00")</f>
        <v>0</v>
      </c>
      <c r="D21" s="44" t="n">
        <f aca="false">SUMIFS(Ημερολόγιο!$G$5:$G$64,Ημερολόγιο!$E$5:$E$64,"60.00")</f>
        <v>1500</v>
      </c>
      <c r="E21" s="44" t="n">
        <f aca="false">SUMIFS(Ημερολόγιο!$H$5:$H$64,Ημερολόγιο!$E$5:$E$64,"60.00")</f>
        <v>0</v>
      </c>
    </row>
    <row r="22" customFormat="false" ht="15" hidden="false" customHeight="false" outlineLevel="0" collapsed="false">
      <c r="A22" s="45" t="str">
        <f aca="false">"Υπόλοιπο: "&amp;TEXT(ABS(A21-B21),"#,##0.00")&amp;" € "&amp;IF(A21-B21&gt;0,"(Χρεωστικό)",IF(B21-A21&gt;0,"(Πιστωτικό)","(Μηδέν)"))</f>
        <v>Υπόλοιπο: 10,000.00 € (Χρεωστικό)</v>
      </c>
      <c r="B22" s="45"/>
      <c r="D22" s="45" t="str">
        <f aca="false">"Υπόλοιπο: "&amp;TEXT(ABS(D21-E21),"#,##0.00")&amp;" € "&amp;IF(D21-E21&gt;0,"(Χρεωστικό)",IF(E21-D21&gt;0,"(Πιστωτικό)","(Μηδέν)"))</f>
        <v>Υπόλοιπο: 1,500.00 € (Χρεωστικό)</v>
      </c>
      <c r="E22" s="45"/>
    </row>
  </sheetData>
  <mergeCells count="18">
    <mergeCell ref="A1:F1"/>
    <mergeCell ref="A2:F2"/>
    <mergeCell ref="A4:B4"/>
    <mergeCell ref="D4:E4"/>
    <mergeCell ref="A7:B7"/>
    <mergeCell ref="D7:E7"/>
    <mergeCell ref="A9:B9"/>
    <mergeCell ref="D9:E9"/>
    <mergeCell ref="A12:B12"/>
    <mergeCell ref="D12:E12"/>
    <mergeCell ref="A14:B14"/>
    <mergeCell ref="D14:E14"/>
    <mergeCell ref="A17:B17"/>
    <mergeCell ref="D17:E17"/>
    <mergeCell ref="A19:B19"/>
    <mergeCell ref="D19:E19"/>
    <mergeCell ref="A22:B22"/>
    <mergeCell ref="D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20"/>
  </cols>
  <sheetData>
    <row r="1" customFormat="false" ht="33.75" hidden="false" customHeight="true" outlineLevel="0" collapsed="false">
      <c r="A1" s="1" t="s">
        <v>182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183</v>
      </c>
      <c r="B2" s="2"/>
      <c r="C2" s="2"/>
      <c r="D2" s="2"/>
      <c r="E2" s="2"/>
    </row>
    <row r="4" customFormat="false" ht="21.75" hidden="false" customHeight="true" outlineLevel="0" collapsed="false">
      <c r="A4" s="46" t="s">
        <v>184</v>
      </c>
      <c r="B4" s="46"/>
      <c r="C4" s="46"/>
      <c r="D4" s="46"/>
      <c r="E4" s="46"/>
    </row>
    <row r="5" customFormat="false" ht="15" hidden="false" customHeight="false" outlineLevel="0" collapsed="false">
      <c r="A5" s="6"/>
      <c r="B5" s="6"/>
      <c r="C5" s="6"/>
      <c r="D5" s="25"/>
      <c r="E5" s="25"/>
    </row>
    <row r="6" customFormat="false" ht="15" hidden="false" customHeight="false" outlineLevel="0" collapsed="false">
      <c r="A6" s="6"/>
      <c r="B6" s="6"/>
      <c r="C6" s="6"/>
      <c r="D6" s="25"/>
      <c r="E6" s="25"/>
    </row>
    <row r="7" customFormat="false" ht="15" hidden="false" customHeight="false" outlineLevel="0" collapsed="false">
      <c r="A7" s="6"/>
      <c r="B7" s="6"/>
      <c r="C7" s="6"/>
      <c r="D7" s="25"/>
      <c r="E7" s="25"/>
    </row>
    <row r="9" customFormat="false" ht="21.75" hidden="false" customHeight="true" outlineLevel="0" collapsed="false">
      <c r="A9" s="46" t="s">
        <v>185</v>
      </c>
      <c r="B9" s="46"/>
      <c r="C9" s="46"/>
      <c r="D9" s="46"/>
      <c r="E9" s="46"/>
    </row>
    <row r="10" customFormat="false" ht="15" hidden="false" customHeight="false" outlineLevel="0" collapsed="false">
      <c r="A10" s="6"/>
      <c r="B10" s="6"/>
      <c r="C10" s="6"/>
      <c r="D10" s="25"/>
      <c r="E10" s="25"/>
    </row>
    <row r="11" customFormat="false" ht="15" hidden="false" customHeight="false" outlineLevel="0" collapsed="false">
      <c r="A11" s="6"/>
      <c r="B11" s="6"/>
      <c r="C11" s="6"/>
      <c r="D11" s="25"/>
      <c r="E11" s="25"/>
    </row>
    <row r="12" customFormat="false" ht="15" hidden="false" customHeight="false" outlineLevel="0" collapsed="false">
      <c r="A12" s="6"/>
      <c r="B12" s="6"/>
      <c r="C12" s="6"/>
      <c r="D12" s="25"/>
      <c r="E12" s="25"/>
    </row>
    <row r="14" customFormat="false" ht="21.75" hidden="false" customHeight="true" outlineLevel="0" collapsed="false">
      <c r="A14" s="46" t="s">
        <v>186</v>
      </c>
      <c r="B14" s="46"/>
      <c r="C14" s="46"/>
      <c r="D14" s="46"/>
      <c r="E14" s="46"/>
    </row>
    <row r="15" customFormat="false" ht="15" hidden="false" customHeight="false" outlineLevel="0" collapsed="false">
      <c r="A15" s="6"/>
      <c r="B15" s="6"/>
      <c r="C15" s="6"/>
      <c r="D15" s="25"/>
      <c r="E15" s="25"/>
    </row>
    <row r="16" customFormat="false" ht="15" hidden="false" customHeight="false" outlineLevel="0" collapsed="false">
      <c r="A16" s="6"/>
      <c r="B16" s="6"/>
      <c r="C16" s="6"/>
      <c r="D16" s="25"/>
      <c r="E16" s="25"/>
    </row>
    <row r="17" customFormat="false" ht="15" hidden="false" customHeight="false" outlineLevel="0" collapsed="false">
      <c r="A17" s="6"/>
      <c r="B17" s="6"/>
      <c r="C17" s="6"/>
      <c r="D17" s="25"/>
      <c r="E17" s="25"/>
    </row>
    <row r="19" customFormat="false" ht="21.75" hidden="false" customHeight="true" outlineLevel="0" collapsed="false">
      <c r="A19" s="46" t="s">
        <v>187</v>
      </c>
      <c r="B19" s="46"/>
      <c r="C19" s="46"/>
      <c r="D19" s="46"/>
      <c r="E19" s="46"/>
    </row>
    <row r="20" customFormat="false" ht="15" hidden="false" customHeight="false" outlineLevel="0" collapsed="false">
      <c r="A20" s="6"/>
      <c r="B20" s="6"/>
      <c r="C20" s="6"/>
      <c r="D20" s="25"/>
      <c r="E20" s="25"/>
    </row>
    <row r="21" customFormat="false" ht="15" hidden="false" customHeight="false" outlineLevel="0" collapsed="false">
      <c r="A21" s="6"/>
      <c r="B21" s="6"/>
      <c r="C21" s="6"/>
      <c r="D21" s="25"/>
      <c r="E21" s="25"/>
    </row>
    <row r="22" customFormat="false" ht="15" hidden="false" customHeight="false" outlineLevel="0" collapsed="false">
      <c r="A22" s="6"/>
      <c r="B22" s="6"/>
      <c r="C22" s="6"/>
      <c r="D22" s="25"/>
      <c r="E22" s="25"/>
    </row>
    <row r="24" customFormat="false" ht="21.75" hidden="false" customHeight="true" outlineLevel="0" collapsed="false">
      <c r="A24" s="46" t="s">
        <v>188</v>
      </c>
      <c r="B24" s="46"/>
      <c r="C24" s="46"/>
      <c r="D24" s="46"/>
      <c r="E24" s="46"/>
    </row>
    <row r="25" customFormat="false" ht="15" hidden="false" customHeight="false" outlineLevel="0" collapsed="false">
      <c r="A25" s="6"/>
      <c r="B25" s="6"/>
      <c r="C25" s="6"/>
      <c r="D25" s="25"/>
      <c r="E25" s="25"/>
    </row>
    <row r="26" customFormat="false" ht="15" hidden="false" customHeight="false" outlineLevel="0" collapsed="false">
      <c r="A26" s="6"/>
      <c r="B26" s="6"/>
      <c r="C26" s="6"/>
      <c r="D26" s="25"/>
      <c r="E26" s="25"/>
    </row>
    <row r="27" customFormat="false" ht="15" hidden="false" customHeight="false" outlineLevel="0" collapsed="false">
      <c r="A27" s="6"/>
      <c r="B27" s="6"/>
      <c r="C27" s="6"/>
      <c r="D27" s="25"/>
      <c r="E27" s="25"/>
    </row>
    <row r="29" customFormat="false" ht="16.15" hidden="false" customHeight="false" outlineLevel="0" collapsed="false">
      <c r="A29" s="47" t="s">
        <v>189</v>
      </c>
      <c r="B29" s="47"/>
      <c r="C29" s="47"/>
      <c r="D29" s="47"/>
      <c r="E29" s="47"/>
    </row>
    <row r="30" customFormat="false" ht="15" hidden="false" customHeight="false" outlineLevel="0" collapsed="false">
      <c r="A30" s="48" t="s">
        <v>190</v>
      </c>
      <c r="B30" s="48"/>
      <c r="C30" s="48"/>
      <c r="D30" s="48"/>
      <c r="E30" s="48"/>
    </row>
    <row r="31" customFormat="false" ht="15" hidden="false" customHeight="false" outlineLevel="0" collapsed="false">
      <c r="A31" s="48" t="s">
        <v>191</v>
      </c>
      <c r="B31" s="48"/>
      <c r="C31" s="48"/>
      <c r="D31" s="48"/>
      <c r="E31" s="48"/>
    </row>
    <row r="32" customFormat="false" ht="15" hidden="false" customHeight="false" outlineLevel="0" collapsed="false">
      <c r="A32" s="48" t="s">
        <v>192</v>
      </c>
      <c r="B32" s="48"/>
      <c r="C32" s="48"/>
      <c r="D32" s="48"/>
      <c r="E32" s="48"/>
    </row>
    <row r="33" customFormat="false" ht="15" hidden="false" customHeight="false" outlineLevel="0" collapsed="false">
      <c r="A33" s="48" t="s">
        <v>193</v>
      </c>
      <c r="B33" s="48"/>
      <c r="C33" s="48"/>
      <c r="D33" s="48"/>
      <c r="E33" s="48"/>
    </row>
    <row r="34" customFormat="false" ht="15" hidden="false" customHeight="false" outlineLevel="0" collapsed="false">
      <c r="A34" s="48" t="s">
        <v>194</v>
      </c>
      <c r="B34" s="48"/>
      <c r="C34" s="48"/>
      <c r="D34" s="48"/>
      <c r="E34" s="48"/>
    </row>
    <row r="35" customFormat="false" ht="15" hidden="false" customHeight="false" outlineLevel="0" collapsed="false">
      <c r="A35" s="11" t="s">
        <v>195</v>
      </c>
      <c r="B35" s="11"/>
      <c r="C35" s="11"/>
      <c r="D35" s="11"/>
      <c r="E35" s="11"/>
    </row>
  </sheetData>
  <mergeCells count="14">
    <mergeCell ref="A1:E1"/>
    <mergeCell ref="A2:E2"/>
    <mergeCell ref="A4:E4"/>
    <mergeCell ref="A9:E9"/>
    <mergeCell ref="A14:E14"/>
    <mergeCell ref="A19:E19"/>
    <mergeCell ref="A24:E24"/>
    <mergeCell ref="A29:E29"/>
    <mergeCell ref="A30:E30"/>
    <mergeCell ref="A31:E31"/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16"/>
  </cols>
  <sheetData>
    <row r="1" customFormat="false" ht="30" hidden="false" customHeight="true" outlineLevel="0" collapsed="false">
      <c r="A1" s="49" t="s">
        <v>196</v>
      </c>
      <c r="B1" s="49"/>
      <c r="C1" s="49"/>
      <c r="D1" s="49"/>
      <c r="E1" s="49"/>
      <c r="F1" s="49"/>
    </row>
    <row r="2" customFormat="false" ht="21.75" hidden="false" customHeight="true" outlineLevel="0" collapsed="false">
      <c r="A2" s="50" t="s">
        <v>197</v>
      </c>
      <c r="B2" s="50"/>
      <c r="C2" s="50"/>
      <c r="D2" s="50"/>
      <c r="E2" s="50"/>
      <c r="F2" s="50"/>
    </row>
    <row r="4" customFormat="false" ht="21.75" hidden="false" customHeight="true" outlineLevel="0" collapsed="false">
      <c r="A4" s="51" t="s">
        <v>198</v>
      </c>
      <c r="B4" s="51"/>
      <c r="C4" s="51"/>
      <c r="D4" s="51"/>
      <c r="E4" s="51"/>
      <c r="F4" s="51"/>
    </row>
    <row r="5" customFormat="false" ht="15" hidden="false" customHeight="false" outlineLevel="0" collapsed="false">
      <c r="A5" s="52" t="s">
        <v>199</v>
      </c>
      <c r="B5" s="52" t="s">
        <v>171</v>
      </c>
      <c r="C5" s="52" t="s">
        <v>200</v>
      </c>
    </row>
    <row r="6" customFormat="false" ht="15" hidden="false" customHeight="false" outlineLevel="0" collapsed="false">
      <c r="A6" s="31"/>
      <c r="B6" s="53" t="s">
        <v>201</v>
      </c>
      <c r="C6" s="54"/>
    </row>
    <row r="7" customFormat="false" ht="15" hidden="false" customHeight="false" outlineLevel="0" collapsed="false">
      <c r="A7" s="30" t="s">
        <v>104</v>
      </c>
      <c r="B7" s="31" t="s">
        <v>105</v>
      </c>
      <c r="C7" s="55" t="n">
        <f aca="false">Ισοζύγιο!F35</f>
        <v>12000</v>
      </c>
    </row>
    <row r="8" customFormat="false" ht="15" hidden="false" customHeight="false" outlineLevel="0" collapsed="false">
      <c r="A8" s="30" t="s">
        <v>108</v>
      </c>
      <c r="B8" s="31" t="s">
        <v>109</v>
      </c>
      <c r="C8" s="55" t="n">
        <f aca="false">Ισοζύγιο!F36</f>
        <v>0</v>
      </c>
    </row>
    <row r="9" customFormat="false" ht="15" hidden="false" customHeight="false" outlineLevel="0" collapsed="false">
      <c r="A9" s="30" t="s">
        <v>110</v>
      </c>
      <c r="B9" s="31" t="s">
        <v>111</v>
      </c>
      <c r="C9" s="55" t="n">
        <f aca="false">Ισοζύγιο!F37</f>
        <v>0</v>
      </c>
    </row>
    <row r="10" customFormat="false" ht="15" hidden="false" customHeight="false" outlineLevel="0" collapsed="false">
      <c r="A10" s="30" t="s">
        <v>112</v>
      </c>
      <c r="B10" s="31" t="s">
        <v>113</v>
      </c>
      <c r="C10" s="55" t="n">
        <f aca="false">Ισοζύγιο!F38</f>
        <v>0</v>
      </c>
    </row>
    <row r="11" customFormat="false" ht="15" hidden="false" customHeight="false" outlineLevel="0" collapsed="false">
      <c r="B11" s="56" t="s">
        <v>202</v>
      </c>
      <c r="C11" s="57" t="n">
        <f aca="false">SUM(C7:C10)</f>
        <v>12000</v>
      </c>
    </row>
    <row r="13" customFormat="false" ht="15" hidden="false" customHeight="false" outlineLevel="0" collapsed="false">
      <c r="A13" s="58"/>
      <c r="B13" s="53" t="s">
        <v>203</v>
      </c>
      <c r="C13" s="58"/>
    </row>
    <row r="14" customFormat="false" ht="15" hidden="false" customHeight="false" outlineLevel="0" collapsed="false">
      <c r="A14" s="30" t="s">
        <v>84</v>
      </c>
      <c r="B14" s="31" t="s">
        <v>85</v>
      </c>
      <c r="C14" s="55" t="n">
        <f aca="false">Ισοζύγιο!E26</f>
        <v>1500</v>
      </c>
    </row>
    <row r="15" customFormat="false" ht="15" hidden="false" customHeight="false" outlineLevel="0" collapsed="false">
      <c r="A15" s="30" t="s">
        <v>88</v>
      </c>
      <c r="B15" s="31" t="s">
        <v>89</v>
      </c>
      <c r="C15" s="55" t="n">
        <f aca="false">Ισοζύγιο!E27</f>
        <v>300</v>
      </c>
    </row>
    <row r="16" customFormat="false" ht="15" hidden="false" customHeight="false" outlineLevel="0" collapsed="false">
      <c r="A16" s="30" t="s">
        <v>90</v>
      </c>
      <c r="B16" s="31" t="s">
        <v>91</v>
      </c>
      <c r="C16" s="55" t="n">
        <f aca="false">Ισοζύγιο!E28</f>
        <v>0</v>
      </c>
    </row>
    <row r="17" customFormat="false" ht="15" hidden="false" customHeight="false" outlineLevel="0" collapsed="false">
      <c r="A17" s="30" t="s">
        <v>92</v>
      </c>
      <c r="B17" s="31" t="s">
        <v>93</v>
      </c>
      <c r="C17" s="55" t="n">
        <f aca="false">Ισοζύγιο!E29</f>
        <v>100</v>
      </c>
    </row>
    <row r="18" customFormat="false" ht="15" hidden="false" customHeight="false" outlineLevel="0" collapsed="false">
      <c r="A18" s="30" t="s">
        <v>94</v>
      </c>
      <c r="B18" s="31" t="s">
        <v>95</v>
      </c>
      <c r="C18" s="55" t="n">
        <f aca="false">Ισοζύγιο!E30</f>
        <v>800</v>
      </c>
    </row>
    <row r="19" customFormat="false" ht="15" hidden="false" customHeight="false" outlineLevel="0" collapsed="false">
      <c r="A19" s="30" t="s">
        <v>96</v>
      </c>
      <c r="B19" s="31" t="s">
        <v>204</v>
      </c>
      <c r="C19" s="55" t="n">
        <f aca="false">Ισοζύγιο!E31</f>
        <v>500</v>
      </c>
    </row>
    <row r="20" customFormat="false" ht="15" hidden="false" customHeight="false" outlineLevel="0" collapsed="false">
      <c r="A20" s="30" t="s">
        <v>98</v>
      </c>
      <c r="B20" s="31" t="s">
        <v>99</v>
      </c>
      <c r="C20" s="55" t="n">
        <f aca="false">Ισοζύγιο!E32</f>
        <v>0</v>
      </c>
    </row>
    <row r="21" customFormat="false" ht="15" hidden="false" customHeight="false" outlineLevel="0" collapsed="false">
      <c r="A21" s="30" t="s">
        <v>100</v>
      </c>
      <c r="B21" s="31" t="s">
        <v>101</v>
      </c>
      <c r="C21" s="55" t="n">
        <f aca="false">Ισοζύγιο!E33</f>
        <v>0</v>
      </c>
    </row>
    <row r="22" customFormat="false" ht="15" hidden="false" customHeight="false" outlineLevel="0" collapsed="false">
      <c r="A22" s="30" t="s">
        <v>102</v>
      </c>
      <c r="B22" s="31" t="s">
        <v>103</v>
      </c>
      <c r="C22" s="55" t="n">
        <f aca="false">Ισοζύγιο!E34</f>
        <v>33.33</v>
      </c>
    </row>
    <row r="23" customFormat="false" ht="15" hidden="false" customHeight="false" outlineLevel="0" collapsed="false">
      <c r="B23" s="56" t="s">
        <v>205</v>
      </c>
      <c r="C23" s="57" t="n">
        <f aca="false">SUM(C14:C22)</f>
        <v>3233.33</v>
      </c>
    </row>
    <row r="24" customFormat="false" ht="15" hidden="false" customHeight="false" outlineLevel="0" collapsed="false">
      <c r="B24" s="59" t="s">
        <v>206</v>
      </c>
      <c r="C24" s="60" t="n">
        <f aca="false">C11-C23</f>
        <v>8766.67</v>
      </c>
    </row>
    <row r="25" customFormat="false" ht="15" hidden="false" customHeight="false" outlineLevel="0" collapsed="false">
      <c r="B25" s="61" t="s">
        <v>207</v>
      </c>
    </row>
    <row r="28" customFormat="false" ht="21.75" hidden="false" customHeight="true" outlineLevel="0" collapsed="false">
      <c r="A28" s="51" t="s">
        <v>208</v>
      </c>
      <c r="B28" s="51"/>
      <c r="C28" s="51"/>
      <c r="D28" s="51"/>
      <c r="E28" s="51"/>
      <c r="F28" s="51"/>
    </row>
    <row r="29" customFormat="false" ht="15" hidden="false" customHeight="false" outlineLevel="0" collapsed="false">
      <c r="A29" s="52" t="s">
        <v>199</v>
      </c>
      <c r="B29" s="52" t="s">
        <v>209</v>
      </c>
      <c r="C29" s="52" t="s">
        <v>200</v>
      </c>
      <c r="D29" s="52" t="s">
        <v>199</v>
      </c>
      <c r="E29" s="52" t="s">
        <v>210</v>
      </c>
      <c r="F29" s="52" t="s">
        <v>200</v>
      </c>
    </row>
    <row r="30" customFormat="false" ht="15" hidden="false" customHeight="false" outlineLevel="0" collapsed="false">
      <c r="A30" s="30" t="s">
        <v>30</v>
      </c>
      <c r="B30" s="31" t="s">
        <v>211</v>
      </c>
      <c r="C30" s="55" t="n">
        <f aca="false">Ισοζύγιο!E5</f>
        <v>0</v>
      </c>
      <c r="D30" s="30" t="s">
        <v>59</v>
      </c>
      <c r="E30" s="31" t="s">
        <v>60</v>
      </c>
      <c r="F30" s="55" t="n">
        <f aca="false">Ισοζύγιο!F17</f>
        <v>25000</v>
      </c>
    </row>
    <row r="31" customFormat="false" ht="15" hidden="false" customHeight="false" outlineLevel="0" collapsed="false">
      <c r="A31" s="30" t="s">
        <v>35</v>
      </c>
      <c r="B31" s="31" t="s">
        <v>212</v>
      </c>
      <c r="C31" s="55" t="n">
        <f aca="false">Ισοζύγιο!E6</f>
        <v>0</v>
      </c>
      <c r="D31" s="30" t="s">
        <v>64</v>
      </c>
      <c r="E31" s="31" t="s">
        <v>65</v>
      </c>
      <c r="F31" s="55" t="n">
        <f aca="false">Ισοζύγιο!F18</f>
        <v>0</v>
      </c>
    </row>
    <row r="32" customFormat="false" ht="15" hidden="false" customHeight="false" outlineLevel="0" collapsed="false">
      <c r="A32" s="30" t="s">
        <v>37</v>
      </c>
      <c r="B32" s="31" t="s">
        <v>213</v>
      </c>
      <c r="C32" s="55" t="n">
        <f aca="false">Ισοζύγιο!E7</f>
        <v>0</v>
      </c>
      <c r="D32" s="30" t="s">
        <v>66</v>
      </c>
      <c r="E32" s="31" t="s">
        <v>67</v>
      </c>
      <c r="F32" s="55" t="n">
        <f aca="false">Ισοζύγιο!F19</f>
        <v>0</v>
      </c>
    </row>
    <row r="33" customFormat="false" ht="15" hidden="false" customHeight="false" outlineLevel="0" collapsed="false">
      <c r="A33" s="30" t="s">
        <v>39</v>
      </c>
      <c r="B33" s="31" t="s">
        <v>40</v>
      </c>
      <c r="C33" s="55" t="n">
        <f aca="false">Ισοζύγιο!E8</f>
        <v>0</v>
      </c>
      <c r="D33" s="30" t="s">
        <v>68</v>
      </c>
      <c r="E33" s="31" t="s">
        <v>214</v>
      </c>
      <c r="F33" s="55" t="n">
        <f aca="false">Ισοζύγιο!F20</f>
        <v>0</v>
      </c>
    </row>
    <row r="34" customFormat="false" ht="15" hidden="false" customHeight="false" outlineLevel="0" collapsed="false">
      <c r="A34" s="30" t="s">
        <v>41</v>
      </c>
      <c r="B34" s="31" t="s">
        <v>215</v>
      </c>
      <c r="C34" s="55" t="n">
        <f aca="false">Ισοζύγιο!E9</f>
        <v>1966.67</v>
      </c>
      <c r="D34" s="30" t="s">
        <v>71</v>
      </c>
      <c r="E34" s="31" t="s">
        <v>72</v>
      </c>
      <c r="F34" s="55" t="n">
        <f aca="false">Ισοζύγιο!F21</f>
        <v>3100</v>
      </c>
    </row>
    <row r="35" customFormat="false" ht="15" hidden="false" customHeight="false" outlineLevel="0" collapsed="false">
      <c r="A35" s="30" t="s">
        <v>43</v>
      </c>
      <c r="B35" s="31" t="s">
        <v>216</v>
      </c>
      <c r="C35" s="55" t="n">
        <f aca="false">Ισοζύγιο!E10</f>
        <v>0</v>
      </c>
      <c r="D35" s="30" t="s">
        <v>74</v>
      </c>
      <c r="E35" s="31" t="s">
        <v>217</v>
      </c>
      <c r="F35" s="55" t="n">
        <f aca="false">Ισοζύγιο!F22</f>
        <v>0</v>
      </c>
    </row>
    <row r="36" customFormat="false" ht="15" hidden="false" customHeight="false" outlineLevel="0" collapsed="false">
      <c r="A36" s="30" t="s">
        <v>45</v>
      </c>
      <c r="B36" s="31" t="s">
        <v>46</v>
      </c>
      <c r="C36" s="55" t="n">
        <f aca="false">Ισοζύγιο!E11</f>
        <v>10000</v>
      </c>
      <c r="D36" s="30" t="s">
        <v>76</v>
      </c>
      <c r="E36" s="31" t="s">
        <v>218</v>
      </c>
      <c r="F36" s="55" t="n">
        <f aca="false">Ισοζύγιο!F23</f>
        <v>0</v>
      </c>
    </row>
    <row r="37" customFormat="false" ht="15" hidden="false" customHeight="false" outlineLevel="0" collapsed="false">
      <c r="A37" s="30" t="s">
        <v>48</v>
      </c>
      <c r="B37" s="31" t="s">
        <v>219</v>
      </c>
      <c r="C37" s="55" t="n">
        <f aca="false">Ισοζύγιο!E12</f>
        <v>0</v>
      </c>
      <c r="D37" s="30" t="s">
        <v>80</v>
      </c>
      <c r="E37" s="31" t="s">
        <v>220</v>
      </c>
      <c r="F37" s="55" t="n">
        <f aca="false">Ισοζύγιο!F24</f>
        <v>0</v>
      </c>
    </row>
    <row r="38" customFormat="false" ht="15" hidden="false" customHeight="false" outlineLevel="0" collapsed="false">
      <c r="A38" s="30" t="s">
        <v>50</v>
      </c>
      <c r="B38" s="31" t="s">
        <v>51</v>
      </c>
      <c r="C38" s="55" t="n">
        <f aca="false">Ισοζύγιο!E13</f>
        <v>0</v>
      </c>
      <c r="D38" s="30" t="s">
        <v>82</v>
      </c>
      <c r="E38" s="31" t="s">
        <v>221</v>
      </c>
      <c r="F38" s="55" t="n">
        <f aca="false">Ισοζύγιο!F25</f>
        <v>500</v>
      </c>
    </row>
    <row r="39" customFormat="false" ht="15" hidden="false" customHeight="false" outlineLevel="0" collapsed="false">
      <c r="A39" s="30" t="s">
        <v>53</v>
      </c>
      <c r="B39" s="31" t="s">
        <v>54</v>
      </c>
      <c r="C39" s="55" t="n">
        <f aca="false">Ισοζύγιο!E14</f>
        <v>0</v>
      </c>
      <c r="D39" s="30" t="s">
        <v>119</v>
      </c>
      <c r="E39" s="62" t="s">
        <v>222</v>
      </c>
      <c r="F39" s="63" t="n">
        <f aca="false">C24</f>
        <v>8766.67</v>
      </c>
    </row>
    <row r="40" customFormat="false" ht="15" hidden="false" customHeight="false" outlineLevel="0" collapsed="false">
      <c r="A40" s="30" t="s">
        <v>76</v>
      </c>
      <c r="B40" s="31" t="s">
        <v>223</v>
      </c>
      <c r="C40" s="55" t="n">
        <f aca="false">Ισοζύγιο!E23</f>
        <v>144</v>
      </c>
      <c r="D40" s="31"/>
      <c r="E40" s="31"/>
      <c r="F40" s="64"/>
    </row>
    <row r="41" customFormat="false" ht="15" hidden="false" customHeight="false" outlineLevel="0" collapsed="false">
      <c r="A41" s="30" t="s">
        <v>55</v>
      </c>
      <c r="B41" s="31" t="s">
        <v>56</v>
      </c>
      <c r="C41" s="55" t="n">
        <f aca="false">Ισοζύγιο!E15</f>
        <v>9036</v>
      </c>
      <c r="D41" s="31"/>
      <c r="E41" s="31"/>
      <c r="F41" s="64"/>
    </row>
    <row r="42" customFormat="false" ht="15" hidden="false" customHeight="false" outlineLevel="0" collapsed="false">
      <c r="A42" s="30" t="s">
        <v>57</v>
      </c>
      <c r="B42" s="31" t="s">
        <v>224</v>
      </c>
      <c r="C42" s="55" t="n">
        <f aca="false">Ισοζύγιο!E16</f>
        <v>16220</v>
      </c>
      <c r="D42" s="31"/>
      <c r="E42" s="31"/>
      <c r="F42" s="64"/>
    </row>
    <row r="43" customFormat="false" ht="15" hidden="false" customHeight="false" outlineLevel="0" collapsed="false">
      <c r="A43" s="31"/>
      <c r="B43" s="31"/>
      <c r="C43" s="64"/>
      <c r="D43" s="31"/>
      <c r="E43" s="31"/>
      <c r="F43" s="64"/>
    </row>
    <row r="44" customFormat="false" ht="15" hidden="false" customHeight="false" outlineLevel="0" collapsed="false">
      <c r="A44" s="65"/>
      <c r="B44" s="66" t="s">
        <v>225</v>
      </c>
      <c r="C44" s="67" t="n">
        <f aca="false">SUM(C30:C42)</f>
        <v>37366.67</v>
      </c>
      <c r="D44" s="65"/>
      <c r="E44" s="66" t="s">
        <v>226</v>
      </c>
      <c r="F44" s="67" t="n">
        <f aca="false">SUM(F30:F39)</f>
        <v>37366.67</v>
      </c>
    </row>
    <row r="45" customFormat="false" ht="21.75" hidden="false" customHeight="true" outlineLevel="0" collapsed="false">
      <c r="A45" s="68" t="str">
        <f aca="false">IF(ROUND(C44-F44,2)=0,"✓ ΙΣΟΣΚΕΛΙΖΕΙ:  ΕΝΕΡΓΗΤΙΚΟ = ΠΑΘΗΤΙΚΟ + ΚΑΘΑΡΗ ΘΕΣΗ","✗ ΔΙΑΦΟΡΑ "&amp;TEXT(C44-F44,"0.00")&amp;" € — έλεγξε το Ημερολόγιο")</f>
        <v>✓ ΙΣΟΣΚΕΛΙΖΕΙ:  ΕΝΕΡΓΗΤΙΚΟ = ΠΑΘΗΤΙΚΟ + ΚΑΘΑΡΗ ΘΕΣΗ</v>
      </c>
      <c r="B45" s="68"/>
      <c r="C45" s="68"/>
      <c r="D45" s="68"/>
      <c r="E45" s="68"/>
      <c r="F45" s="68"/>
    </row>
    <row r="47" customFormat="false" ht="45.75" hidden="false" customHeight="true" outlineLevel="0" collapsed="false">
      <c r="A47" s="69" t="s">
        <v>227</v>
      </c>
      <c r="B47" s="69"/>
      <c r="C47" s="69"/>
      <c r="D47" s="69"/>
      <c r="E47" s="69"/>
      <c r="F47" s="69"/>
    </row>
  </sheetData>
  <mergeCells count="6">
    <mergeCell ref="A1:F1"/>
    <mergeCell ref="A2:F2"/>
    <mergeCell ref="A4:F4"/>
    <mergeCell ref="A28:F28"/>
    <mergeCell ref="A45:F45"/>
    <mergeCell ref="A47:F47"/>
  </mergeCells>
  <conditionalFormatting sqref="C24">
    <cfRule type="expression" priority="2" aboveAverage="0" equalAverage="0" bottom="0" percent="0" rank="0" text="" dxfId="0">
      <formula>C24&gt;=0</formula>
    </cfRule>
    <cfRule type="expression" priority="3" aboveAverage="0" equalAverage="0" bottom="0" percent="0" rank="0" text="" dxfId="1">
      <formula>C24&lt;0</formula>
    </cfRule>
  </conditionalFormatting>
  <conditionalFormatting sqref="A45">
    <cfRule type="expression" priority="4" aboveAverage="0" equalAverage="0" bottom="0" percent="0" rank="0" text="" dxfId="0">
      <formula>ISNUMBER(SEARCH("ΙΣΟΣΚΕΛΙΖΕΙ",A45))</formula>
    </cfRule>
    <cfRule type="expression" priority="5" aboveAverage="0" equalAverage="0" bottom="0" percent="0" rank="0" text="" dxfId="1">
      <formula>ISNUMBER(SEARCH("ΔΙΑΦΟΡΑ",A45))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2026-07-11T14:39:45Z</dcterms:created>
  <dc:creator>openpyxl</dc:creator>
  <dc:description/>
  <dc:language>en-US</dc:language>
  <cp:lastModifiedBy/>
  <dcterms:modified xsi:type="dcterms:W3CDTF">2026-07-11T14:55:26Z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